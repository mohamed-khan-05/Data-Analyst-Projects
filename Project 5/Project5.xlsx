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amed\Desktop\Projects\Project 5\"/>
    </mc:Choice>
  </mc:AlternateContent>
  <xr:revisionPtr revIDLastSave="0" documentId="13_ncr:1_{5D7DA9A7-1D16-42D5-8370-6978A3B18E9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shboard" sheetId="3" r:id="rId1"/>
    <sheet name="Pivot Data" sheetId="1" r:id="rId2"/>
    <sheet name="Cleaned_Data (2)" sheetId="5" r:id="rId3"/>
  </sheets>
  <definedNames>
    <definedName name="_xlchart.v1.0" hidden="1">'Pivot Data'!$C$5:$C$19</definedName>
    <definedName name="_xlchart.v1.1" hidden="1">'Pivot Data'!$D$4</definedName>
    <definedName name="_xlchart.v1.2" hidden="1">'Pivot Data'!$D$5:$D$19</definedName>
    <definedName name="_xlchart.v1.3" hidden="1">'Pivot Data'!$C$5:$C$19</definedName>
    <definedName name="_xlchart.v1.4" hidden="1">'Pivot Data'!$D$4</definedName>
    <definedName name="_xlchart.v1.5" hidden="1">'Pivot Data'!$D$5:$D$19</definedName>
    <definedName name="_xlcn.WorksheetConnection_Project5.xlsxCleaned_Data1" hidden="1">Cleaned_Data[]</definedName>
    <definedName name="ExternalData_1" localSheetId="2" hidden="1">'Cleaned_Data (2)'!$A$1:$L$78</definedName>
  </definedNames>
  <calcPr calcId="191029"/>
  <pivotCaches>
    <pivotCache cacheId="75" r:id="rId4"/>
    <pivotCache cacheId="72" r:id="rId5"/>
    <pivotCache cacheId="389" r:id="rId6"/>
    <pivotCache cacheId="379" r:id="rId7"/>
    <pivotCache cacheId="380" r:id="rId8"/>
    <pivotCache cacheId="381" r:id="rId9"/>
    <pivotCache cacheId="382" r:id="rId10"/>
    <pivotCache cacheId="384" r:id="rId11"/>
    <pivotCache cacheId="385" r:id="rId12"/>
    <pivotCache cacheId="387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eaned_Data" name="Cleaned_Data" connection="WorksheetConnection_Project5.xlsx!Cleaned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5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67BF76-0432-40D9-9283-28530730FC97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  <connection id="2" xr16:uid="{E22E5EE1-8917-4E87-A22D-A6ADF952A6E7}" keepAlive="1" name="Query - Mapping" description="Connection to the 'Mapping' query in the workbook." type="5" refreshedVersion="8" background="1" saveData="1">
    <dbPr connection="Provider=Microsoft.Mashup.OleDb.1;Data Source=$Workbook$;Location=Mapping;Extended Properties=&quot;&quot;" command="SELECT * FROM [Mapping]"/>
  </connection>
  <connection id="3" xr16:uid="{EDB514C6-BC75-4532-91FD-C071D4071F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315E9175-E083-4070-8412-3A0C57FE1D8A}" name="WorksheetConnection_Project5.xlsx!Cleaned_Data" type="102" refreshedVersion="8" minRefreshableVersion="5">
    <extLst>
      <ext xmlns:x15="http://schemas.microsoft.com/office/spreadsheetml/2010/11/main" uri="{DE250136-89BD-433C-8126-D09CA5730AF9}">
        <x15:connection id="Cleaned_Data">
          <x15:rangePr sourceName="_xlcn.WorksheetConnection_Project5.xlsxCleaned_Data1"/>
        </x15:connection>
      </ext>
    </extLst>
  </connection>
</connections>
</file>

<file path=xl/sharedStrings.xml><?xml version="1.0" encoding="utf-8"?>
<sst xmlns="http://schemas.openxmlformats.org/spreadsheetml/2006/main" count="544" uniqueCount="184">
  <si>
    <t>fNAME</t>
  </si>
  <si>
    <t>lNAME</t>
  </si>
  <si>
    <t>Age</t>
  </si>
  <si>
    <t>gender</t>
  </si>
  <si>
    <t>country</t>
  </si>
  <si>
    <t>residence</t>
  </si>
  <si>
    <t>entryEXAM</t>
  </si>
  <si>
    <t>prevEducation</t>
  </si>
  <si>
    <t>studyHOURS</t>
  </si>
  <si>
    <t>Python</t>
  </si>
  <si>
    <t>DB</t>
  </si>
  <si>
    <t>Christina</t>
  </si>
  <si>
    <t>Binger</t>
  </si>
  <si>
    <t>Female</t>
  </si>
  <si>
    <t>Norway</t>
  </si>
  <si>
    <t>Private</t>
  </si>
  <si>
    <t>Masters</t>
  </si>
  <si>
    <t>Alex</t>
  </si>
  <si>
    <t>Walekhwa</t>
  </si>
  <si>
    <t>Male</t>
  </si>
  <si>
    <t>Kenya</t>
  </si>
  <si>
    <t>Diploma</t>
  </si>
  <si>
    <t>Philip</t>
  </si>
  <si>
    <t>Leo</t>
  </si>
  <si>
    <t>Uganda</t>
  </si>
  <si>
    <t>Sognsvann</t>
  </si>
  <si>
    <t>High School</t>
  </si>
  <si>
    <t>Shoni</t>
  </si>
  <si>
    <t>Hlongwane</t>
  </si>
  <si>
    <t>Rsa</t>
  </si>
  <si>
    <t>Maria</t>
  </si>
  <si>
    <t>Kedibone</t>
  </si>
  <si>
    <t>South Africa</t>
  </si>
  <si>
    <t>Hannah</t>
  </si>
  <si>
    <t>Hansen</t>
  </si>
  <si>
    <t>Norge</t>
  </si>
  <si>
    <t>Biresidence</t>
  </si>
  <si>
    <t>Ole</t>
  </si>
  <si>
    <t>Johansen</t>
  </si>
  <si>
    <t>Bachelors</t>
  </si>
  <si>
    <t>Lars</t>
  </si>
  <si>
    <t>Olsen</t>
  </si>
  <si>
    <t>Bjørn</t>
  </si>
  <si>
    <t>Larsen</t>
  </si>
  <si>
    <t>Sofie</t>
  </si>
  <si>
    <t>Jensen</t>
  </si>
  <si>
    <t>Denmark</t>
  </si>
  <si>
    <t>Emma</t>
  </si>
  <si>
    <t>de Vries</t>
  </si>
  <si>
    <t>Netherlands</t>
  </si>
  <si>
    <t>Solveig</t>
  </si>
  <si>
    <t>Eliassen</t>
  </si>
  <si>
    <t>Odd</t>
  </si>
  <si>
    <t>Knudsen</t>
  </si>
  <si>
    <t>Grethe</t>
  </si>
  <si>
    <t>Myklebust</t>
  </si>
  <si>
    <t>Marco</t>
  </si>
  <si>
    <t>Rossi</t>
  </si>
  <si>
    <t>Italy</t>
  </si>
  <si>
    <t>Ingrid</t>
  </si>
  <si>
    <t>Eide</t>
  </si>
  <si>
    <t>Hanna</t>
  </si>
  <si>
    <t>Andresen</t>
  </si>
  <si>
    <t>Jorunn</t>
  </si>
  <si>
    <t>Sebastian</t>
  </si>
  <si>
    <t>Kristiansen</t>
  </si>
  <si>
    <t>Camilla</t>
  </si>
  <si>
    <t>Mikkelsen</t>
  </si>
  <si>
    <t>Prof</t>
  </si>
  <si>
    <t>Birkeland</t>
  </si>
  <si>
    <t>Isaksen</t>
  </si>
  <si>
    <t>Kristine</t>
  </si>
  <si>
    <t>Berg</t>
  </si>
  <si>
    <t>Carmen</t>
  </si>
  <si>
    <t>Rodríguez</t>
  </si>
  <si>
    <t>Spain</t>
  </si>
  <si>
    <t>Ahmed</t>
  </si>
  <si>
    <t>Gunnar</t>
  </si>
  <si>
    <t>Brekke</t>
  </si>
  <si>
    <t>Gerd</t>
  </si>
  <si>
    <t>Bakken</t>
  </si>
  <si>
    <t>Aisha</t>
  </si>
  <si>
    <t>Nakaweesi</t>
  </si>
  <si>
    <t>Kato</t>
  </si>
  <si>
    <t>Muwanguzi</t>
  </si>
  <si>
    <t>Nansubuga</t>
  </si>
  <si>
    <t>Nakalema</t>
  </si>
  <si>
    <t>Joakim</t>
  </si>
  <si>
    <t>Edvardsen</t>
  </si>
  <si>
    <t>Don</t>
  </si>
  <si>
    <t>Pettersen</t>
  </si>
  <si>
    <t>Perry</t>
  </si>
  <si>
    <t>Rønning</t>
  </si>
  <si>
    <t>Doctorate</t>
  </si>
  <si>
    <t>Frank</t>
  </si>
  <si>
    <t>Abrahamsen</t>
  </si>
  <si>
    <t>Line</t>
  </si>
  <si>
    <t>Næss</t>
  </si>
  <si>
    <t>Thor</t>
  </si>
  <si>
    <t>Sandvik</t>
  </si>
  <si>
    <t>Petter</t>
  </si>
  <si>
    <t>Ellingsen</t>
  </si>
  <si>
    <t>Sindre</t>
  </si>
  <si>
    <t>Simen</t>
  </si>
  <si>
    <t>Myhre</t>
  </si>
  <si>
    <t>Bjørg</t>
  </si>
  <si>
    <t>Fredriksen</t>
  </si>
  <si>
    <t>Trond</t>
  </si>
  <si>
    <t>Karlsen</t>
  </si>
  <si>
    <t>Emily</t>
  </si>
  <si>
    <t>Thompson</t>
  </si>
  <si>
    <t>Uk</t>
  </si>
  <si>
    <t>Unni</t>
  </si>
  <si>
    <t>Jacobsen</t>
  </si>
  <si>
    <t>Ruth</t>
  </si>
  <si>
    <t>Pedersen</t>
  </si>
  <si>
    <t>Inger</t>
  </si>
  <si>
    <t>Peninah</t>
  </si>
  <si>
    <t>Berit</t>
  </si>
  <si>
    <t>Jenny</t>
  </si>
  <si>
    <t>Kristoffersen</t>
  </si>
  <si>
    <t>Thea</t>
  </si>
  <si>
    <t>Knutsen</t>
  </si>
  <si>
    <t>Dag</t>
  </si>
  <si>
    <t>Arnesen</t>
  </si>
  <si>
    <t>Mwanaidi</t>
  </si>
  <si>
    <t>Ali</t>
  </si>
  <si>
    <t>Somali</t>
  </si>
  <si>
    <t>Chinedu</t>
  </si>
  <si>
    <t>Morison</t>
  </si>
  <si>
    <t>Nigeria</t>
  </si>
  <si>
    <t>Irene</t>
  </si>
  <si>
    <t>Strømertan</t>
  </si>
  <si>
    <t>Okafor</t>
  </si>
  <si>
    <t>Marianne</t>
  </si>
  <si>
    <t>Ruud</t>
  </si>
  <si>
    <t>Jens</t>
  </si>
  <si>
    <t>Lunde</t>
  </si>
  <si>
    <t>Morten</t>
  </si>
  <si>
    <t>Karoline</t>
  </si>
  <si>
    <t>Ola</t>
  </si>
  <si>
    <t>Bakke</t>
  </si>
  <si>
    <t>Tore</t>
  </si>
  <si>
    <t>Caroline</t>
  </si>
  <si>
    <t>Narocho</t>
  </si>
  <si>
    <t>Silvia</t>
  </si>
  <si>
    <t>Valentino</t>
  </si>
  <si>
    <t>Ojiambo</t>
  </si>
  <si>
    <t>Peter</t>
  </si>
  <si>
    <t>Kubebea</t>
  </si>
  <si>
    <t>Anna</t>
  </si>
  <si>
    <t>Müller</t>
  </si>
  <si>
    <t>Germany</t>
  </si>
  <si>
    <t>Lucas</t>
  </si>
  <si>
    <t>Schmidt</t>
  </si>
  <si>
    <t>Marie</t>
  </si>
  <si>
    <t>Dubois</t>
  </si>
  <si>
    <t>France</t>
  </si>
  <si>
    <t>Thomas</t>
  </si>
  <si>
    <t>García</t>
  </si>
  <si>
    <t>Janssen</t>
  </si>
  <si>
    <t>Maximilan</t>
  </si>
  <si>
    <t>Martini</t>
  </si>
  <si>
    <t>Clara</t>
  </si>
  <si>
    <t>Bernard</t>
  </si>
  <si>
    <t>Julian</t>
  </si>
  <si>
    <t>Nielsen</t>
  </si>
  <si>
    <t>Sophie</t>
  </si>
  <si>
    <t>Brown</t>
  </si>
  <si>
    <t>Leon</t>
  </si>
  <si>
    <t>Bauer</t>
  </si>
  <si>
    <t>Mohammed</t>
  </si>
  <si>
    <t>Salim</t>
  </si>
  <si>
    <t>Row Labels</t>
  </si>
  <si>
    <t>Grand Total</t>
  </si>
  <si>
    <t>Count of fNAME</t>
  </si>
  <si>
    <t>Average of Age</t>
  </si>
  <si>
    <t>Average of studyHOURS</t>
  </si>
  <si>
    <t>Average of Python</t>
  </si>
  <si>
    <t>Average of entryEXAM</t>
  </si>
  <si>
    <t>Column1</t>
  </si>
  <si>
    <t>Column2</t>
  </si>
  <si>
    <t>Column Labels</t>
  </si>
  <si>
    <t>SortEducation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</si>
</sst>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32619"/>
      <color rgb="FF07593B"/>
      <color rgb="FF568C78"/>
      <color rgb="FFD93D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7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[Project5.xlsx]Pivot Data!PivotTable7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Students</a:t>
            </a:r>
            <a:r>
              <a:rPr lang="en-ZA" baseline="0"/>
              <a:t> by country and residence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D93D59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rgbClr val="07593B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rgbClr val="568C78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rgbClr val="D93D59"/>
          </a:solidFill>
          <a:ln>
            <a:noFill/>
          </a:ln>
          <a:effectLst/>
        </c:spPr>
      </c:pivotFmt>
      <c:pivotFmt>
        <c:idx val="16"/>
        <c:spPr>
          <a:solidFill>
            <a:srgbClr val="D93D59"/>
          </a:solidFill>
          <a:ln>
            <a:noFill/>
          </a:ln>
          <a:effectLst/>
        </c:spPr>
      </c:pivotFmt>
      <c:pivotFmt>
        <c:idx val="17"/>
        <c:spPr>
          <a:solidFill>
            <a:srgbClr val="D93D59"/>
          </a:solidFill>
          <a:ln>
            <a:noFill/>
          </a:ln>
          <a:effectLst/>
        </c:spPr>
      </c:pivotFmt>
      <c:pivotFmt>
        <c:idx val="18"/>
        <c:spPr>
          <a:solidFill>
            <a:srgbClr val="D93D59"/>
          </a:solidFill>
          <a:ln>
            <a:noFill/>
          </a:ln>
          <a:effectLst/>
        </c:spPr>
      </c:pivotFmt>
      <c:pivotFmt>
        <c:idx val="19"/>
        <c:spPr>
          <a:solidFill>
            <a:srgbClr val="D93D59"/>
          </a:solidFill>
          <a:ln>
            <a:noFill/>
          </a:ln>
          <a:effectLst/>
        </c:spPr>
      </c:pivotFmt>
      <c:pivotFmt>
        <c:idx val="20"/>
        <c:spPr>
          <a:solidFill>
            <a:srgbClr val="D93D59"/>
          </a:solidFill>
          <a:ln>
            <a:noFill/>
          </a:ln>
          <a:effectLst/>
        </c:spPr>
      </c:pivotFmt>
      <c:pivotFmt>
        <c:idx val="21"/>
        <c:spPr>
          <a:solidFill>
            <a:srgbClr val="D93D59"/>
          </a:solidFill>
          <a:ln>
            <a:noFill/>
          </a:ln>
          <a:effectLst/>
        </c:spPr>
      </c:pivotFmt>
      <c:pivotFmt>
        <c:idx val="22"/>
        <c:spPr>
          <a:solidFill>
            <a:srgbClr val="D93D59"/>
          </a:solidFill>
          <a:ln>
            <a:noFill/>
          </a:ln>
          <a:effectLst/>
        </c:spPr>
      </c:pivotFmt>
      <c:pivotFmt>
        <c:idx val="23"/>
        <c:spPr>
          <a:solidFill>
            <a:srgbClr val="D93D59"/>
          </a:solidFill>
          <a:ln>
            <a:noFill/>
          </a:ln>
          <a:effectLst/>
        </c:spPr>
      </c:pivotFmt>
      <c:pivotFmt>
        <c:idx val="24"/>
        <c:spPr>
          <a:solidFill>
            <a:srgbClr val="D93D59"/>
          </a:solidFill>
          <a:ln>
            <a:noFill/>
          </a:ln>
          <a:effectLst/>
        </c:spPr>
      </c:pivotFmt>
      <c:pivotFmt>
        <c:idx val="25"/>
        <c:spPr>
          <a:solidFill>
            <a:srgbClr val="D93D59"/>
          </a:solidFill>
          <a:ln>
            <a:noFill/>
          </a:ln>
          <a:effectLst/>
        </c:spPr>
      </c:pivotFmt>
      <c:pivotFmt>
        <c:idx val="26"/>
        <c:spPr>
          <a:solidFill>
            <a:srgbClr val="D93D59"/>
          </a:solidFill>
          <a:ln>
            <a:noFill/>
          </a:ln>
          <a:effectLst/>
        </c:spPr>
      </c:pivotFmt>
      <c:pivotFmt>
        <c:idx val="27"/>
        <c:spPr>
          <a:solidFill>
            <a:srgbClr val="D93D59"/>
          </a:solidFill>
          <a:ln>
            <a:noFill/>
          </a:ln>
          <a:effectLst/>
        </c:spPr>
      </c:pivotFmt>
      <c:pivotFmt>
        <c:idx val="28"/>
        <c:spPr>
          <a:solidFill>
            <a:srgbClr val="D93D59"/>
          </a:solidFill>
          <a:ln>
            <a:noFill/>
          </a:ln>
          <a:effectLst/>
        </c:spPr>
      </c:pivotFmt>
      <c:pivotFmt>
        <c:idx val="29"/>
        <c:spPr>
          <a:solidFill>
            <a:srgbClr val="D93D59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Data'!$G$4:$G$5</c:f>
              <c:strCache>
                <c:ptCount val="1"/>
                <c:pt idx="0">
                  <c:v>Biresidence</c:v>
                </c:pt>
              </c:strCache>
            </c:strRef>
          </c:tx>
          <c:spPr>
            <a:solidFill>
              <a:srgbClr val="D93D59"/>
            </a:solidFill>
            <a:ln>
              <a:noFill/>
            </a:ln>
            <a:effectLst/>
          </c:spPr>
          <c:invertIfNegative val="0"/>
          <c:cat>
            <c:strRef>
              <c:f>'Pivot Data'!$F$6:$F$21</c:f>
              <c:strCache>
                <c:ptCount val="15"/>
                <c:pt idx="0">
                  <c:v>Norway</c:v>
                </c:pt>
                <c:pt idx="1">
                  <c:v>Uganda</c:v>
                </c:pt>
                <c:pt idx="2">
                  <c:v>Germany</c:v>
                </c:pt>
                <c:pt idx="3">
                  <c:v>Kenya</c:v>
                </c:pt>
                <c:pt idx="4">
                  <c:v>Denmark</c:v>
                </c:pt>
                <c:pt idx="5">
                  <c:v>Somali</c:v>
                </c:pt>
                <c:pt idx="6">
                  <c:v>Italy</c:v>
                </c:pt>
                <c:pt idx="7">
                  <c:v>France</c:v>
                </c:pt>
                <c:pt idx="8">
                  <c:v>Spain</c:v>
                </c:pt>
                <c:pt idx="9">
                  <c:v>Uk</c:v>
                </c:pt>
                <c:pt idx="10">
                  <c:v>Netherlands</c:v>
                </c:pt>
                <c:pt idx="11">
                  <c:v>Nigeria</c:v>
                </c:pt>
                <c:pt idx="12">
                  <c:v>South Africa</c:v>
                </c:pt>
                <c:pt idx="13">
                  <c:v>Rsa</c:v>
                </c:pt>
                <c:pt idx="14">
                  <c:v>Norge</c:v>
                </c:pt>
              </c:strCache>
            </c:strRef>
          </c:cat>
          <c:val>
            <c:numRef>
              <c:f>'Pivot Data'!$G$6:$G$21</c:f>
              <c:numCache>
                <c:formatCode>General</c:formatCode>
                <c:ptCount val="15"/>
                <c:pt idx="0">
                  <c:v>27</c:v>
                </c:pt>
                <c:pt idx="4">
                  <c:v>1</c:v>
                </c:pt>
                <c:pt idx="5">
                  <c:v>1</c:v>
                </c:pt>
                <c:pt idx="8">
                  <c:v>1</c:v>
                </c:pt>
                <c:pt idx="10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B-4353-AD0B-7B9D1C93D1FC}"/>
            </c:ext>
          </c:extLst>
        </c:ser>
        <c:ser>
          <c:idx val="1"/>
          <c:order val="1"/>
          <c:tx>
            <c:strRef>
              <c:f>'Pivot Data'!$H$4:$H$5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07593B"/>
            </a:solidFill>
            <a:ln>
              <a:noFill/>
            </a:ln>
            <a:effectLst/>
          </c:spPr>
          <c:invertIfNegative val="0"/>
          <c:cat>
            <c:strRef>
              <c:f>'Pivot Data'!$F$6:$F$21</c:f>
              <c:strCache>
                <c:ptCount val="15"/>
                <c:pt idx="0">
                  <c:v>Norway</c:v>
                </c:pt>
                <c:pt idx="1">
                  <c:v>Uganda</c:v>
                </c:pt>
                <c:pt idx="2">
                  <c:v>Germany</c:v>
                </c:pt>
                <c:pt idx="3">
                  <c:v>Kenya</c:v>
                </c:pt>
                <c:pt idx="4">
                  <c:v>Denmark</c:v>
                </c:pt>
                <c:pt idx="5">
                  <c:v>Somali</c:v>
                </c:pt>
                <c:pt idx="6">
                  <c:v>Italy</c:v>
                </c:pt>
                <c:pt idx="7">
                  <c:v>France</c:v>
                </c:pt>
                <c:pt idx="8">
                  <c:v>Spain</c:v>
                </c:pt>
                <c:pt idx="9">
                  <c:v>Uk</c:v>
                </c:pt>
                <c:pt idx="10">
                  <c:v>Netherlands</c:v>
                </c:pt>
                <c:pt idx="11">
                  <c:v>Nigeria</c:v>
                </c:pt>
                <c:pt idx="12">
                  <c:v>South Africa</c:v>
                </c:pt>
                <c:pt idx="13">
                  <c:v>Rsa</c:v>
                </c:pt>
                <c:pt idx="14">
                  <c:v>Norge</c:v>
                </c:pt>
              </c:strCache>
            </c:strRef>
          </c:cat>
          <c:val>
            <c:numRef>
              <c:f>'Pivot Data'!$H$6:$H$21</c:f>
              <c:numCache>
                <c:formatCode>General</c:formatCode>
                <c:ptCount val="15"/>
                <c:pt idx="0">
                  <c:v>21</c:v>
                </c:pt>
                <c:pt idx="1">
                  <c:v>3</c:v>
                </c:pt>
                <c:pt idx="3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B-4353-AD0B-7B9D1C93D1FC}"/>
            </c:ext>
          </c:extLst>
        </c:ser>
        <c:ser>
          <c:idx val="2"/>
          <c:order val="2"/>
          <c:tx>
            <c:strRef>
              <c:f>'Pivot Data'!$I$4:$I$5</c:f>
              <c:strCache>
                <c:ptCount val="1"/>
                <c:pt idx="0">
                  <c:v>Sognsvann</c:v>
                </c:pt>
              </c:strCache>
            </c:strRef>
          </c:tx>
          <c:spPr>
            <a:solidFill>
              <a:srgbClr val="568C78"/>
            </a:solidFill>
            <a:ln>
              <a:noFill/>
            </a:ln>
            <a:effectLst/>
          </c:spPr>
          <c:invertIfNegative val="0"/>
          <c:cat>
            <c:strRef>
              <c:f>'Pivot Data'!$F$6:$F$21</c:f>
              <c:strCache>
                <c:ptCount val="15"/>
                <c:pt idx="0">
                  <c:v>Norway</c:v>
                </c:pt>
                <c:pt idx="1">
                  <c:v>Uganda</c:v>
                </c:pt>
                <c:pt idx="2">
                  <c:v>Germany</c:v>
                </c:pt>
                <c:pt idx="3">
                  <c:v>Kenya</c:v>
                </c:pt>
                <c:pt idx="4">
                  <c:v>Denmark</c:v>
                </c:pt>
                <c:pt idx="5">
                  <c:v>Somali</c:v>
                </c:pt>
                <c:pt idx="6">
                  <c:v>Italy</c:v>
                </c:pt>
                <c:pt idx="7">
                  <c:v>France</c:v>
                </c:pt>
                <c:pt idx="8">
                  <c:v>Spain</c:v>
                </c:pt>
                <c:pt idx="9">
                  <c:v>Uk</c:v>
                </c:pt>
                <c:pt idx="10">
                  <c:v>Netherlands</c:v>
                </c:pt>
                <c:pt idx="11">
                  <c:v>Nigeria</c:v>
                </c:pt>
                <c:pt idx="12">
                  <c:v>South Africa</c:v>
                </c:pt>
                <c:pt idx="13">
                  <c:v>Rsa</c:v>
                </c:pt>
                <c:pt idx="14">
                  <c:v>Norge</c:v>
                </c:pt>
              </c:strCache>
            </c:strRef>
          </c:cat>
          <c:val>
            <c:numRef>
              <c:f>'Pivot Data'!$I$6:$I$21</c:f>
              <c:numCache>
                <c:formatCode>General</c:formatCode>
                <c:ptCount val="15"/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7">
                  <c:v>1</c:v>
                </c:pt>
                <c:pt idx="9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4B-4353-AD0B-7B9D1C93D1FC}"/>
            </c:ext>
          </c:extLst>
        </c:ser>
        <c:dLbls>
          <c:dLblPos val="inBase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049040"/>
        <c:axId val="71046640"/>
      </c:barChart>
      <c:catAx>
        <c:axId val="7104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6640"/>
        <c:crosses val="autoZero"/>
        <c:auto val="1"/>
        <c:lblAlgn val="ctr"/>
        <c:lblOffset val="100"/>
        <c:noMultiLvlLbl val="0"/>
      </c:catAx>
      <c:valAx>
        <c:axId val="7104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>
                  <a:lumMod val="25000"/>
                  <a:lumOff val="75000"/>
                  <a:alpha val="30000"/>
                </a:sys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3261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[Project5.xlsx]Pivot Data!PivotTable8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Students by Education Level</a:t>
            </a:r>
          </a:p>
        </c:rich>
      </c:tx>
      <c:overlay val="0"/>
      <c:spPr>
        <a:solidFill>
          <a:srgbClr val="032619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68C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1">
                <a:alpha val="3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Data'!$B$25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68C78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>
                  <a:alpha val="3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Data'!$A$26:$A$30</c:f>
              <c:strCache>
                <c:ptCount val="5"/>
                <c:pt idx="0">
                  <c:v>Doctorate</c:v>
                </c:pt>
                <c:pt idx="1">
                  <c:v>Diploma</c:v>
                </c:pt>
                <c:pt idx="2">
                  <c:v>Masters</c:v>
                </c:pt>
                <c:pt idx="3">
                  <c:v>High School</c:v>
                </c:pt>
                <c:pt idx="4">
                  <c:v>Bachelors</c:v>
                </c:pt>
              </c:strCache>
            </c:strRef>
          </c:cat>
          <c:val>
            <c:numRef>
              <c:f>'Pivot Data'!$B$26:$B$30</c:f>
              <c:numCache>
                <c:formatCode>General</c:formatCode>
                <c:ptCount val="5"/>
                <c:pt idx="0">
                  <c:v>5</c:v>
                </c:pt>
                <c:pt idx="1">
                  <c:v>12</c:v>
                </c:pt>
                <c:pt idx="2">
                  <c:v>16</c:v>
                </c:pt>
                <c:pt idx="3">
                  <c:v>19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AA-4B30-87C6-F3863027FC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2389744"/>
        <c:axId val="152378704"/>
      </c:barChart>
      <c:catAx>
        <c:axId val="152389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78704"/>
        <c:crosses val="autoZero"/>
        <c:auto val="1"/>
        <c:lblAlgn val="ctr"/>
        <c:lblOffset val="100"/>
        <c:noMultiLvlLbl val="0"/>
      </c:catAx>
      <c:valAx>
        <c:axId val="15237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ysClr val="windowText" lastClr="000000">
                  <a:lumMod val="25000"/>
                  <a:lumOff val="75000"/>
                  <a:alpha val="30000"/>
                </a:sys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3261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[Project5.xlsx]Pivot Data!PivotTable9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Study Hours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68C78"/>
          </a:solidFill>
          <a:ln w="19050">
            <a:noFill/>
          </a:ln>
          <a:effectLst/>
        </c:spPr>
      </c:pivotFmt>
      <c:pivotFmt>
        <c:idx val="9"/>
        <c:spPr>
          <a:solidFill>
            <a:srgbClr val="D93D59"/>
          </a:solidFill>
          <a:ln w="1905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Data'!$E$25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568C7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737-4E8B-9165-ED8F0EFA5695}"/>
              </c:ext>
            </c:extLst>
          </c:dPt>
          <c:dPt>
            <c:idx val="1"/>
            <c:bubble3D val="0"/>
            <c:spPr>
              <a:solidFill>
                <a:srgbClr val="D93D5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737-4E8B-9165-ED8F0EFA56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Data'!$D$26:$D$27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Data'!$E$26:$E$27</c:f>
              <c:numCache>
                <c:formatCode>0.00</c:formatCode>
                <c:ptCount val="2"/>
                <c:pt idx="0">
                  <c:v>148.97674418604652</c:v>
                </c:pt>
                <c:pt idx="1">
                  <c:v>150.64705882352942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37-4E8B-9165-ED8F0EFA569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3261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[Project5.xlsx]Pivot Data!PivotTable10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AVG Python by Education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D93D59"/>
            </a:solidFill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noFill/>
            </a:ln>
            <a:effectLst/>
          </c:spPr>
        </c:marker>
      </c:pivotFmt>
      <c:pivotFmt>
        <c:idx val="7"/>
        <c:spPr>
          <a:ln w="28575" cap="rnd">
            <a:solidFill>
              <a:srgbClr val="568C78"/>
            </a:solidFill>
            <a:round/>
          </a:ln>
          <a:effectLst/>
        </c:spPr>
        <c:marker>
          <c:symbol val="circle"/>
          <c:size val="5"/>
          <c:spPr>
            <a:solidFill>
              <a:srgbClr val="07593B"/>
            </a:solidFill>
            <a:ln w="9525">
              <a:noFill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Data'!$G$25:$G$26</c:f>
              <c:strCache>
                <c:ptCount val="1"/>
                <c:pt idx="0">
                  <c:v>Female</c:v>
                </c:pt>
              </c:strCache>
            </c:strRef>
          </c:tx>
          <c:spPr>
            <a:ln w="28575" cap="rnd">
              <a:solidFill>
                <a:srgbClr val="D93D5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cat>
            <c:strRef>
              <c:f>'Pivot Data'!$F$27:$F$32</c:f>
              <c:strCache>
                <c:ptCount val="5"/>
                <c:pt idx="0">
                  <c:v>High School</c:v>
                </c:pt>
                <c:pt idx="1">
                  <c:v>Diploma</c:v>
                </c:pt>
                <c:pt idx="2">
                  <c:v>Bachelors</c:v>
                </c:pt>
                <c:pt idx="3">
                  <c:v>Masters</c:v>
                </c:pt>
                <c:pt idx="4">
                  <c:v>Doctorate</c:v>
                </c:pt>
              </c:strCache>
            </c:strRef>
          </c:cat>
          <c:val>
            <c:numRef>
              <c:f>'Pivot Data'!$G$27:$G$32</c:f>
              <c:numCache>
                <c:formatCode>0.00</c:formatCode>
                <c:ptCount val="5"/>
                <c:pt idx="0">
                  <c:v>67</c:v>
                </c:pt>
                <c:pt idx="1">
                  <c:v>71.25</c:v>
                </c:pt>
                <c:pt idx="2">
                  <c:v>78.5</c:v>
                </c:pt>
                <c:pt idx="3">
                  <c:v>82.36363636363636</c:v>
                </c:pt>
                <c:pt idx="4">
                  <c:v>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0B-4DF1-A986-275A51A1E6C0}"/>
            </c:ext>
          </c:extLst>
        </c:ser>
        <c:ser>
          <c:idx val="1"/>
          <c:order val="1"/>
          <c:tx>
            <c:strRef>
              <c:f>'Pivot Data'!$H$25:$H$26</c:f>
              <c:strCache>
                <c:ptCount val="1"/>
                <c:pt idx="0">
                  <c:v>Male</c:v>
                </c:pt>
              </c:strCache>
            </c:strRef>
          </c:tx>
          <c:spPr>
            <a:ln w="28575" cap="rnd">
              <a:solidFill>
                <a:srgbClr val="568C7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7593B"/>
              </a:solidFill>
              <a:ln w="9525">
                <a:noFill/>
              </a:ln>
              <a:effectLst/>
            </c:spPr>
          </c:marker>
          <c:cat>
            <c:strRef>
              <c:f>'Pivot Data'!$F$27:$F$32</c:f>
              <c:strCache>
                <c:ptCount val="5"/>
                <c:pt idx="0">
                  <c:v>High School</c:v>
                </c:pt>
                <c:pt idx="1">
                  <c:v>Diploma</c:v>
                </c:pt>
                <c:pt idx="2">
                  <c:v>Bachelors</c:v>
                </c:pt>
                <c:pt idx="3">
                  <c:v>Masters</c:v>
                </c:pt>
                <c:pt idx="4">
                  <c:v>Doctorate</c:v>
                </c:pt>
              </c:strCache>
            </c:strRef>
          </c:cat>
          <c:val>
            <c:numRef>
              <c:f>'Pivot Data'!$H$27:$H$32</c:f>
              <c:numCache>
                <c:formatCode>0.00</c:formatCode>
                <c:ptCount val="5"/>
                <c:pt idx="0">
                  <c:v>46.6</c:v>
                </c:pt>
                <c:pt idx="1">
                  <c:v>69.5</c:v>
                </c:pt>
                <c:pt idx="2">
                  <c:v>81.384615384615387</c:v>
                </c:pt>
                <c:pt idx="3">
                  <c:v>78.599999999999994</c:v>
                </c:pt>
                <c:pt idx="4">
                  <c:v>85.666666666666671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B-4DF1-A986-275A51A1E6C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15184"/>
        <c:axId val="152421904"/>
      </c:lineChart>
      <c:catAx>
        <c:axId val="15241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21904"/>
        <c:crosses val="autoZero"/>
        <c:auto val="1"/>
        <c:lblAlgn val="ctr"/>
        <c:lblOffset val="100"/>
        <c:noMultiLvlLbl val="0"/>
      </c:catAx>
      <c:valAx>
        <c:axId val="15242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>
                  <a:lumMod val="25000"/>
                  <a:lumOff val="75000"/>
                  <a:alpha val="30000"/>
                </a:sys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32619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Count of Students per Country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lang="en-ZA">
              <a:solidFill>
                <a:schemeClr val="bg1"/>
              </a:solidFill>
            </a:rPr>
            <a:t>Count of Students per Country</a:t>
          </a:r>
        </a:p>
      </cx:txPr>
    </cx:title>
    <cx:plotArea>
      <cx:plotAreaRegion>
        <cx:series layoutId="treemap" uniqueId="{9E2C5F9D-5F00-414C-8187-CE5BBB25762C}">
          <cx:tx>
            <cx:txData>
              <cx:f>_xlchart.v1.1</cx:f>
              <cx:v>Column2</cx:v>
            </cx:txData>
          </cx:tx>
          <cx:dataLabels>
            <cx:spPr>
              <a:solidFill>
                <a:srgbClr val="032619"/>
              </a:solidFill>
            </cx:spPr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ZA">
                  <a:solidFill>
                    <a:schemeClr val="bg1"/>
                  </a:solidFill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  <cx:spPr>
    <a:solidFill>
      <a:srgbClr val="032619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9</xdr:col>
      <xdr:colOff>502274</xdr:colOff>
      <xdr:row>24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F162446-A196-4F71-A0A2-A30F232E06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24000"/>
              <a:ext cx="5988674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504825</xdr:colOff>
      <xdr:row>8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9E7C3F-E126-4005-89CC-F63A0E2BD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40C167-3A85-4ECB-A0F2-4676A1ADE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13</xdr:col>
      <xdr:colOff>0</xdr:colOff>
      <xdr:row>39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690C8F5-2DE9-43BF-A6D2-DF8012E86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24</xdr:row>
      <xdr:rowOff>0</xdr:rowOff>
    </xdr:from>
    <xdr:to>
      <xdr:col>20</xdr:col>
      <xdr:colOff>0</xdr:colOff>
      <xdr:row>39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C40704-DD6B-4ABB-BCDD-DF72F9613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4</xdr:col>
      <xdr:colOff>0</xdr:colOff>
      <xdr:row>8</xdr:row>
      <xdr:rowOff>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48E4C15-A716-4B72-9661-A485E81E54DF}"/>
            </a:ext>
          </a:extLst>
        </xdr:cNvPr>
        <xdr:cNvGrpSpPr/>
      </xdr:nvGrpSpPr>
      <xdr:grpSpPr>
        <a:xfrm>
          <a:off x="0" y="571500"/>
          <a:ext cx="2438400" cy="952500"/>
          <a:chOff x="10963275" y="952500"/>
          <a:chExt cx="2438400" cy="952500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56AFADB7-C120-7A84-31C3-704B5945C87E}"/>
              </a:ext>
            </a:extLst>
          </xdr:cNvPr>
          <xdr:cNvSpPr/>
        </xdr:nvSpPr>
        <xdr:spPr>
          <a:xfrm>
            <a:off x="10963275" y="952500"/>
            <a:ext cx="2438400" cy="952500"/>
          </a:xfrm>
          <a:prstGeom prst="rect">
            <a:avLst/>
          </a:prstGeom>
          <a:solidFill>
            <a:srgbClr val="03261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748BD589-C7F5-CC11-0BA5-84B6FBC4D509}"/>
              </a:ext>
            </a:extLst>
          </xdr:cNvPr>
          <xdr:cNvSpPr txBox="1"/>
        </xdr:nvSpPr>
        <xdr:spPr>
          <a:xfrm>
            <a:off x="10963275" y="1057275"/>
            <a:ext cx="2438399" cy="2762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ZA" sz="10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Count of Students</a:t>
            </a:r>
          </a:p>
        </xdr:txBody>
      </xdr:sp>
      <xdr:sp macro="" textlink="'Pivot Data'!A2">
        <xdr:nvSpPr>
          <xdr:cNvPr id="11" name="TextBox 10">
            <a:extLst>
              <a:ext uri="{FF2B5EF4-FFF2-40B4-BE49-F238E27FC236}">
                <a16:creationId xmlns:a16="http://schemas.microsoft.com/office/drawing/2014/main" id="{5AC60DE9-215C-221F-8F88-5F4531BE8064}"/>
              </a:ext>
            </a:extLst>
          </xdr:cNvPr>
          <xdr:cNvSpPr txBox="1"/>
        </xdr:nvSpPr>
        <xdr:spPr>
          <a:xfrm>
            <a:off x="10963275" y="1333500"/>
            <a:ext cx="24384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3D88524-DD6F-49EA-A9E5-60DB1ECF877C}" type="TxLink">
              <a:rPr lang="en-US" sz="1800" b="0" i="0" u="none" strike="noStrike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77</a:t>
            </a:fld>
            <a:endParaRPr lang="en-ZA" sz="18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04FA6E03-9378-A328-8A54-7E595310E993}"/>
              </a:ext>
            </a:extLst>
          </xdr:cNvPr>
          <xdr:cNvCxnSpPr/>
        </xdr:nvCxnSpPr>
        <xdr:spPr>
          <a:xfrm>
            <a:off x="11096625" y="1028699"/>
            <a:ext cx="0" cy="792000"/>
          </a:xfrm>
          <a:prstGeom prst="line">
            <a:avLst/>
          </a:prstGeom>
          <a:ln w="190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3</xdr:row>
      <xdr:rowOff>0</xdr:rowOff>
    </xdr:from>
    <xdr:to>
      <xdr:col>8</xdr:col>
      <xdr:colOff>0</xdr:colOff>
      <xdr:row>8</xdr:row>
      <xdr:rowOff>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8B7FB13D-F3B2-A973-41B5-3F87F9DE940D}"/>
            </a:ext>
          </a:extLst>
        </xdr:cNvPr>
        <xdr:cNvGrpSpPr/>
      </xdr:nvGrpSpPr>
      <xdr:grpSpPr>
        <a:xfrm>
          <a:off x="2438400" y="571500"/>
          <a:ext cx="2438400" cy="952500"/>
          <a:chOff x="10963275" y="952500"/>
          <a:chExt cx="2438400" cy="952500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2DE9EF3-2A31-B371-5C47-CBFD0F91C207}"/>
              </a:ext>
            </a:extLst>
          </xdr:cNvPr>
          <xdr:cNvSpPr/>
        </xdr:nvSpPr>
        <xdr:spPr>
          <a:xfrm>
            <a:off x="10963275" y="952500"/>
            <a:ext cx="2438400" cy="952500"/>
          </a:xfrm>
          <a:prstGeom prst="rect">
            <a:avLst/>
          </a:prstGeom>
          <a:solidFill>
            <a:srgbClr val="03261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44F2BF9-89FD-BEE5-14E0-EF14E6CC2843}"/>
              </a:ext>
            </a:extLst>
          </xdr:cNvPr>
          <xdr:cNvSpPr txBox="1"/>
        </xdr:nvSpPr>
        <xdr:spPr>
          <a:xfrm>
            <a:off x="10963275" y="1057275"/>
            <a:ext cx="2438399" cy="2762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ZA" sz="10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Average Age</a:t>
            </a:r>
          </a:p>
        </xdr:txBody>
      </xdr:sp>
      <xdr:sp macro="" textlink="'Pivot Data'!B2">
        <xdr:nvSpPr>
          <xdr:cNvPr id="16" name="TextBox 15">
            <a:extLst>
              <a:ext uri="{FF2B5EF4-FFF2-40B4-BE49-F238E27FC236}">
                <a16:creationId xmlns:a16="http://schemas.microsoft.com/office/drawing/2014/main" id="{E50AFC8D-31CF-E649-9B22-A30F38BE4BAC}"/>
              </a:ext>
            </a:extLst>
          </xdr:cNvPr>
          <xdr:cNvSpPr txBox="1"/>
        </xdr:nvSpPr>
        <xdr:spPr>
          <a:xfrm>
            <a:off x="10963275" y="1333500"/>
            <a:ext cx="24384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8F45220-3187-4598-9169-7A4C59CD463F}" type="TxLink">
              <a:rPr lang="en-US" sz="1800" b="0" i="0" u="none" strike="noStrike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pPr marL="0" indent="0" algn="ctr"/>
              <a:t>35,21</a:t>
            </a:fld>
            <a:endParaRPr lang="en-ZA" sz="1800" b="0" i="0" u="none" strike="noStrike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9E40948E-2E13-0DCC-ED3D-83B51DF95FF0}"/>
              </a:ext>
            </a:extLst>
          </xdr:cNvPr>
          <xdr:cNvCxnSpPr/>
        </xdr:nvCxnSpPr>
        <xdr:spPr>
          <a:xfrm>
            <a:off x="11096625" y="1028699"/>
            <a:ext cx="0" cy="792000"/>
          </a:xfrm>
          <a:prstGeom prst="line">
            <a:avLst/>
          </a:prstGeom>
          <a:ln w="190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3</xdr:row>
      <xdr:rowOff>0</xdr:rowOff>
    </xdr:from>
    <xdr:to>
      <xdr:col>12</xdr:col>
      <xdr:colOff>0</xdr:colOff>
      <xdr:row>8</xdr:row>
      <xdr:rowOff>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66346F55-537E-75A5-18DC-45E8EF4A4D20}"/>
            </a:ext>
          </a:extLst>
        </xdr:cNvPr>
        <xdr:cNvGrpSpPr/>
      </xdr:nvGrpSpPr>
      <xdr:grpSpPr>
        <a:xfrm>
          <a:off x="4876800" y="571500"/>
          <a:ext cx="2438400" cy="952500"/>
          <a:chOff x="10963275" y="952500"/>
          <a:chExt cx="2438400" cy="952500"/>
        </a:xfrm>
      </xdr:grpSpPr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B01924FB-8074-BB23-3C39-89E884147A84}"/>
              </a:ext>
            </a:extLst>
          </xdr:cNvPr>
          <xdr:cNvSpPr/>
        </xdr:nvSpPr>
        <xdr:spPr>
          <a:xfrm>
            <a:off x="10963275" y="952500"/>
            <a:ext cx="2438400" cy="952500"/>
          </a:xfrm>
          <a:prstGeom prst="rect">
            <a:avLst/>
          </a:prstGeom>
          <a:solidFill>
            <a:srgbClr val="03261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80463652-3E75-F403-4C33-B626D89F696A}"/>
              </a:ext>
            </a:extLst>
          </xdr:cNvPr>
          <xdr:cNvSpPr txBox="1"/>
        </xdr:nvSpPr>
        <xdr:spPr>
          <a:xfrm>
            <a:off x="10963275" y="1057275"/>
            <a:ext cx="2438399" cy="2762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ZA" sz="10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Average Study Hours</a:t>
            </a:r>
          </a:p>
        </xdr:txBody>
      </xdr:sp>
      <xdr:sp macro="" textlink="'Pivot Data'!C2">
        <xdr:nvSpPr>
          <xdr:cNvPr id="21" name="TextBox 20">
            <a:extLst>
              <a:ext uri="{FF2B5EF4-FFF2-40B4-BE49-F238E27FC236}">
                <a16:creationId xmlns:a16="http://schemas.microsoft.com/office/drawing/2014/main" id="{B4811FDE-3A9E-07DE-78A6-BFD7158B13FF}"/>
              </a:ext>
            </a:extLst>
          </xdr:cNvPr>
          <xdr:cNvSpPr txBox="1"/>
        </xdr:nvSpPr>
        <xdr:spPr>
          <a:xfrm>
            <a:off x="10963275" y="1333500"/>
            <a:ext cx="24384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6F299736-254F-4A36-9705-CAD2B41E4AB7}" type="TxLink">
              <a:rPr lang="en-US" sz="1800" b="0" i="0" u="none" strike="noStrike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pPr marL="0" indent="0" algn="ctr"/>
              <a:t>149,71</a:t>
            </a:fld>
            <a:endParaRPr lang="en-ZA" sz="1800" b="0" i="0" u="none" strike="noStrike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BC0A2431-16E8-4A87-9ED3-507E81C97241}"/>
              </a:ext>
            </a:extLst>
          </xdr:cNvPr>
          <xdr:cNvCxnSpPr/>
        </xdr:nvCxnSpPr>
        <xdr:spPr>
          <a:xfrm>
            <a:off x="11096625" y="1028699"/>
            <a:ext cx="0" cy="792000"/>
          </a:xfrm>
          <a:prstGeom prst="line">
            <a:avLst/>
          </a:prstGeom>
          <a:ln w="190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3</xdr:row>
      <xdr:rowOff>0</xdr:rowOff>
    </xdr:from>
    <xdr:to>
      <xdr:col>20</xdr:col>
      <xdr:colOff>0</xdr:colOff>
      <xdr:row>8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2FA23B72-B51C-2129-2655-09FF4F0605A8}"/>
            </a:ext>
          </a:extLst>
        </xdr:cNvPr>
        <xdr:cNvGrpSpPr/>
      </xdr:nvGrpSpPr>
      <xdr:grpSpPr>
        <a:xfrm>
          <a:off x="9753600" y="571500"/>
          <a:ext cx="2438400" cy="952500"/>
          <a:chOff x="10963275" y="952500"/>
          <a:chExt cx="2438400" cy="952500"/>
        </a:xfrm>
      </xdr:grpSpPr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B93B7E22-7CFC-FDCE-68DD-65DC5505BBF6}"/>
              </a:ext>
            </a:extLst>
          </xdr:cNvPr>
          <xdr:cNvSpPr/>
        </xdr:nvSpPr>
        <xdr:spPr>
          <a:xfrm>
            <a:off x="10963275" y="952500"/>
            <a:ext cx="2438400" cy="952500"/>
          </a:xfrm>
          <a:prstGeom prst="rect">
            <a:avLst/>
          </a:prstGeom>
          <a:solidFill>
            <a:srgbClr val="03261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1CF782FE-C180-516C-4DA2-45A264862DBD}"/>
              </a:ext>
            </a:extLst>
          </xdr:cNvPr>
          <xdr:cNvSpPr txBox="1"/>
        </xdr:nvSpPr>
        <xdr:spPr>
          <a:xfrm>
            <a:off x="10963275" y="1057275"/>
            <a:ext cx="2438399" cy="2762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ZA" sz="10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Average Entry</a:t>
            </a:r>
            <a:r>
              <a:rPr lang="en-ZA" sz="1000" baseline="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Exam Score</a:t>
            </a:r>
            <a:endParaRPr lang="en-ZA" sz="10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'Pivot Data'!E2">
        <xdr:nvSpPr>
          <xdr:cNvPr id="26" name="TextBox 25">
            <a:extLst>
              <a:ext uri="{FF2B5EF4-FFF2-40B4-BE49-F238E27FC236}">
                <a16:creationId xmlns:a16="http://schemas.microsoft.com/office/drawing/2014/main" id="{5EA69318-CBEE-28F7-C8B2-443BA4022CEB}"/>
              </a:ext>
            </a:extLst>
          </xdr:cNvPr>
          <xdr:cNvSpPr txBox="1"/>
        </xdr:nvSpPr>
        <xdr:spPr>
          <a:xfrm>
            <a:off x="10963275" y="1333500"/>
            <a:ext cx="24384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C7FBCB78-4879-49A8-87A9-1341C8CDC19B}" type="TxLink">
              <a:rPr lang="en-US" sz="1800" b="0" i="0" u="none" strike="noStrike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pPr marL="0" indent="0" algn="ctr"/>
              <a:t>76,75</a:t>
            </a:fld>
            <a:endParaRPr lang="en-ZA" sz="1800" b="0" i="0" u="none" strike="noStrike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6F85BED0-6832-2B7C-606A-2A0CA7674EF9}"/>
              </a:ext>
            </a:extLst>
          </xdr:cNvPr>
          <xdr:cNvCxnSpPr/>
        </xdr:nvCxnSpPr>
        <xdr:spPr>
          <a:xfrm>
            <a:off x="11096625" y="1028699"/>
            <a:ext cx="0" cy="792000"/>
          </a:xfrm>
          <a:prstGeom prst="line">
            <a:avLst/>
          </a:prstGeom>
          <a:ln w="190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3</xdr:row>
      <xdr:rowOff>0</xdr:rowOff>
    </xdr:from>
    <xdr:to>
      <xdr:col>16</xdr:col>
      <xdr:colOff>0</xdr:colOff>
      <xdr:row>8</xdr:row>
      <xdr:rowOff>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367F1AF0-140A-8D67-A360-3EB0C8340A1F}"/>
            </a:ext>
          </a:extLst>
        </xdr:cNvPr>
        <xdr:cNvGrpSpPr/>
      </xdr:nvGrpSpPr>
      <xdr:grpSpPr>
        <a:xfrm>
          <a:off x="7315200" y="571500"/>
          <a:ext cx="2438400" cy="952500"/>
          <a:chOff x="10963275" y="952500"/>
          <a:chExt cx="2438400" cy="952500"/>
        </a:xfrm>
      </xdr:grpSpPr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AAEE3C0C-8B6C-62BD-52FD-EA8DACDCA91E}"/>
              </a:ext>
            </a:extLst>
          </xdr:cNvPr>
          <xdr:cNvSpPr/>
        </xdr:nvSpPr>
        <xdr:spPr>
          <a:xfrm>
            <a:off x="10963275" y="952500"/>
            <a:ext cx="2438400" cy="952500"/>
          </a:xfrm>
          <a:prstGeom prst="rect">
            <a:avLst/>
          </a:prstGeom>
          <a:solidFill>
            <a:srgbClr val="03261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7A00F419-743A-EFE4-4F2E-843CCC625800}"/>
              </a:ext>
            </a:extLst>
          </xdr:cNvPr>
          <xdr:cNvSpPr txBox="1"/>
        </xdr:nvSpPr>
        <xdr:spPr>
          <a:xfrm>
            <a:off x="10963275" y="1057275"/>
            <a:ext cx="2438399" cy="2762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ZA" sz="10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Average Python Score</a:t>
            </a:r>
          </a:p>
        </xdr:txBody>
      </xdr:sp>
      <xdr:sp macro="" textlink="'Pivot Data'!D2">
        <xdr:nvSpPr>
          <xdr:cNvPr id="31" name="TextBox 30">
            <a:extLst>
              <a:ext uri="{FF2B5EF4-FFF2-40B4-BE49-F238E27FC236}">
                <a16:creationId xmlns:a16="http://schemas.microsoft.com/office/drawing/2014/main" id="{BC370303-8A6D-841A-42A5-C600A03D22FB}"/>
              </a:ext>
            </a:extLst>
          </xdr:cNvPr>
          <xdr:cNvSpPr txBox="1"/>
        </xdr:nvSpPr>
        <xdr:spPr>
          <a:xfrm>
            <a:off x="10963275" y="1333500"/>
            <a:ext cx="24384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77016555-9BD1-4A9F-A072-F5BA5C178D39}" type="TxLink">
              <a:rPr lang="en-US" sz="1800" b="0" i="0" u="none" strike="noStrike">
                <a:solidFill>
                  <a:schemeClr val="bg1"/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rPr>
              <a:pPr marL="0" indent="0" algn="ctr"/>
              <a:t>73,88</a:t>
            </a:fld>
            <a:endParaRPr lang="en-ZA" sz="1800" b="0" i="0" u="none" strike="noStrike">
              <a:solidFill>
                <a:schemeClr val="bg1"/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endParaRPr>
          </a:p>
        </xdr:txBody>
      </xdr: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DFC99281-2BA4-D7E0-B11A-9775D9D90883}"/>
              </a:ext>
            </a:extLst>
          </xdr:cNvPr>
          <xdr:cNvCxnSpPr/>
        </xdr:nvCxnSpPr>
        <xdr:spPr>
          <a:xfrm>
            <a:off x="11096625" y="1028699"/>
            <a:ext cx="0" cy="792000"/>
          </a:xfrm>
          <a:prstGeom prst="line">
            <a:avLst/>
          </a:prstGeom>
          <a:ln w="190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</xdr:colOff>
      <xdr:row>0</xdr:row>
      <xdr:rowOff>1</xdr:rowOff>
    </xdr:from>
    <xdr:to>
      <xdr:col>20</xdr:col>
      <xdr:colOff>0</xdr:colOff>
      <xdr:row>3</xdr:row>
      <xdr:rowOff>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506FB3A-F1DF-4FD8-3C0C-7F7F01D220B8}"/>
            </a:ext>
          </a:extLst>
        </xdr:cNvPr>
        <xdr:cNvSpPr txBox="1"/>
      </xdr:nvSpPr>
      <xdr:spPr>
        <a:xfrm>
          <a:off x="1" y="1"/>
          <a:ext cx="12191999" cy="571499"/>
        </a:xfrm>
        <a:prstGeom prst="rect">
          <a:avLst/>
        </a:prstGeom>
        <a:solidFill>
          <a:srgbClr val="03261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ZA" sz="2000" b="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rPr>
            <a:t>Student Details 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5</xdr:row>
      <xdr:rowOff>0</xdr:rowOff>
    </xdr:from>
    <xdr:to>
      <xdr:col>16</xdr:col>
      <xdr:colOff>0</xdr:colOff>
      <xdr:row>10</xdr:row>
      <xdr:rowOff>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7A1F1D05-40F4-6444-4FEE-E6511F18DA28}"/>
            </a:ext>
          </a:extLst>
        </xdr:cNvPr>
        <xdr:cNvGrpSpPr/>
      </xdr:nvGrpSpPr>
      <xdr:grpSpPr>
        <a:xfrm>
          <a:off x="10963275" y="952500"/>
          <a:ext cx="2438400" cy="952500"/>
          <a:chOff x="10963275" y="952500"/>
          <a:chExt cx="2438400" cy="952500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302D680E-1C73-32CB-EF4A-AAB8738E3D50}"/>
              </a:ext>
            </a:extLst>
          </xdr:cNvPr>
          <xdr:cNvSpPr/>
        </xdr:nvSpPr>
        <xdr:spPr>
          <a:xfrm>
            <a:off x="10963275" y="952500"/>
            <a:ext cx="2438400" cy="952500"/>
          </a:xfrm>
          <a:prstGeom prst="rect">
            <a:avLst/>
          </a:prstGeom>
          <a:solidFill>
            <a:srgbClr val="032619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AD34350A-7D68-0254-8E55-382D8E189211}"/>
              </a:ext>
            </a:extLst>
          </xdr:cNvPr>
          <xdr:cNvSpPr txBox="1"/>
        </xdr:nvSpPr>
        <xdr:spPr>
          <a:xfrm>
            <a:off x="10963275" y="1057275"/>
            <a:ext cx="2438399" cy="2762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ZA" sz="1000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Count of Students</a:t>
            </a:r>
          </a:p>
        </xdr:txBody>
      </xdr:sp>
      <xdr:sp macro="" textlink="'Pivot Data'!A2">
        <xdr:nvSpPr>
          <xdr:cNvPr id="9" name="TextBox 8">
            <a:extLst>
              <a:ext uri="{FF2B5EF4-FFF2-40B4-BE49-F238E27FC236}">
                <a16:creationId xmlns:a16="http://schemas.microsoft.com/office/drawing/2014/main" id="{7D4C01DC-F053-46FC-9A52-69EADF887E5B}"/>
              </a:ext>
            </a:extLst>
          </xdr:cNvPr>
          <xdr:cNvSpPr txBox="1"/>
        </xdr:nvSpPr>
        <xdr:spPr>
          <a:xfrm>
            <a:off x="10963275" y="1333500"/>
            <a:ext cx="2438400" cy="4572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3D88524-DD6F-49EA-A9E5-60DB1ECF877C}" type="TxLink">
              <a:rPr lang="en-US" sz="1800" b="0" i="0" u="none" strike="noStrike">
                <a:solidFill>
                  <a:schemeClr val="bg1"/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77</a:t>
            </a:fld>
            <a:endParaRPr lang="en-ZA" sz="1800">
              <a:solidFill>
                <a:schemeClr val="bg1"/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cxnSp macro="">
        <xdr:nvCxnSpPr>
          <xdr:cNvPr id="11" name="Straight Connector 10">
            <a:extLst>
              <a:ext uri="{FF2B5EF4-FFF2-40B4-BE49-F238E27FC236}">
                <a16:creationId xmlns:a16="http://schemas.microsoft.com/office/drawing/2014/main" id="{AEE5445C-B587-4B1D-565B-6727FFD0C3B8}"/>
              </a:ext>
            </a:extLst>
          </xdr:cNvPr>
          <xdr:cNvCxnSpPr/>
        </xdr:nvCxnSpPr>
        <xdr:spPr>
          <a:xfrm>
            <a:off x="11096625" y="1028699"/>
            <a:ext cx="0" cy="792000"/>
          </a:xfrm>
          <a:prstGeom prst="line">
            <a:avLst/>
          </a:prstGeom>
          <a:ln w="190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" refreshedDate="45920.60759861111" backgroundQuery="1" createdVersion="8" refreshedVersion="8" minRefreshableVersion="3" recordCount="0" supportSubquery="1" supportAdvancedDrill="1" xr:uid="{980D036B-9B09-474B-9D61-BFDE6594AF4B}">
  <cacheSource type="external" connectionId="3"/>
  <cacheFields count="1">
    <cacheField name="[Measures].[Average of entryEXAM]" caption="Average of entryEXAM" numFmtId="0" hierarchy="21" level="32767"/>
  </cacheFields>
  <cacheHierarchies count="22">
    <cacheHierarchy uniqueName="[Cleaned_Data].[fNAME]" caption="fNAME" attribute="1" defaultMemberUniqueName="[Cleaned_Data].[fNAME].[All]" allUniqueName="[Cleaned_Data].[fNAME].[All]" dimensionUniqueName="[Cleaned_Data]" displayFolder="" count="0" memberValueDatatype="130" unbalanced="0"/>
    <cacheHierarchy uniqueName="[Cleaned_Data].[lNAME]" caption="lNAME" attribute="1" defaultMemberUniqueName="[Cleaned_Data].[lNAME].[All]" allUniqueName="[Cleaned_Data].[lNAME].[All]" dimensionUniqueName="[Cleaned_Data]" displayFolder="" count="0" memberValueDatatype="130" unbalanced="0"/>
    <cacheHierarchy uniqueName="[Cleaned_Data].[Age]" caption="Age" attribute="1" defaultMemberUniqueName="[Cleaned_Data].[Age].[All]" allUniqueName="[Cleaned_Data].[Age].[All]" dimensionUniqueName="[Cleaned_Data]" displayFolder="" count="0" memberValueDatatype="20" unbalanced="0"/>
    <cacheHierarchy uniqueName="[Cleaned_Data].[gender]" caption="gender" attribute="1" defaultMemberUniqueName="[Cleaned_Data].[gender].[All]" allUniqueName="[Cleaned_Data].[gender].[All]" dimensionUniqueName="[Cleaned_Data]" displayFolder="" count="0" memberValueDatatype="130" unbalanced="0"/>
    <cacheHierarchy uniqueName="[Cleaned_Data].[country]" caption="country" attribute="1" defaultMemberUniqueName="[Cleaned_Data].[country].[All]" allUniqueName="[Cleaned_Data].[country].[All]" dimensionUniqueName="[Cleaned_Data]" displayFolder="" count="0" memberValueDatatype="130" unbalanced="0"/>
    <cacheHierarchy uniqueName="[Cleaned_Data].[residence]" caption="residence" attribute="1" defaultMemberUniqueName="[Cleaned_Data].[residence].[All]" allUniqueName="[Cleaned_Data].[residence].[All]" dimensionUniqueName="[Cleaned_Data]" displayFolder="" count="0" memberValueDatatype="130" unbalanced="0"/>
    <cacheHierarchy uniqueName="[Cleaned_Data].[entryEXAM]" caption="entryEXAM" attribute="1" defaultMemberUniqueName="[Cleaned_Data].[entryEXAM].[All]" allUniqueName="[Cleaned_Data].[entryEXAM].[All]" dimensionUniqueName="[Cleaned_Data]" displayFolder="" count="0" memberValueDatatype="20" unbalanced="0"/>
    <cacheHierarchy uniqueName="[Cleaned_Data].[prevEducation]" caption="prevEducation" attribute="1" defaultMemberUniqueName="[Cleaned_Data].[prevEducation].[All]" allUniqueName="[Cleaned_Data].[prevEducation].[All]" dimensionUniqueName="[Cleaned_Data]" displayFolder="" count="0" memberValueDatatype="130" unbalanced="0"/>
    <cacheHierarchy uniqueName="[Cleaned_Data].[studyHOURS]" caption="studyHOURS" attribute="1" defaultMemberUniqueName="[Cleaned_Data].[studyHOURS].[All]" allUniqueName="[Cleaned_Data].[studyHOURS].[All]" dimensionUniqueName="[Cleaned_Data]" displayFolder="" count="0" memberValueDatatype="20" unbalanced="0"/>
    <cacheHierarchy uniqueName="[Cleaned_Data].[Python]" caption="Python" attribute="1" defaultMemberUniqueName="[Cleaned_Data].[Python].[All]" allUniqueName="[Cleaned_Data].[Python].[All]" dimensionUniqueName="[Cleaned_Data]" displayFolder="" count="0" memberValueDatatype="20" unbalanced="0"/>
    <cacheHierarchy uniqueName="[Cleaned_Data].[DB]" caption="DB" attribute="1" defaultMemberUniqueName="[Cleaned_Data].[DB].[All]" allUniqueName="[Cleaned_Data].[DB].[All]" dimensionUniqueName="[Cleaned_Data]" displayFolder="" count="0" memberValueDatatype="20" unbalanced="0"/>
    <cacheHierarchy uniqueName="[Measures].[__XL_Count Cleaned_Data]" caption="__XL_Count Cleaned_Data" measure="1" displayFolder="" measureGroup="Cleaned_Data" count="0" hidden="1"/>
    <cacheHierarchy uniqueName="[Measures].[__No measures defined]" caption="__No measures defined" measure="1" displayFolder="" count="0" hidden="1"/>
    <cacheHierarchy uniqueName="[Measures].[Count of fNAME]" caption="Count of fNAME" measure="1" displayFolder="" measureGroup="Cleaned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Cleaned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ge]" caption="Average of Age" measure="1" displayFolder="" measureGroup="Cleaned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udyHOURS]" caption="Sum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tudyHOURS]" caption="Average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ython]" caption="Sum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ython]" caption="Average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tryEXAM]" caption="Sum of entryEXAM" measure="1" displayFolder="" measureGroup="Cleaned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entryEXAM]" caption="Average of entryEXAM" measure="1" displayFolder="" measureGroup="Cleaned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name="Cleaned_Data" uniqueName="[Cleaned_Data]" caption="Cleaned_Data"/>
    <dimension measure="1" name="Measures" uniqueName="[Measures]" caption="Measures"/>
  </dimensions>
  <measureGroups count="1">
    <measureGroup name="Cleaned_Data" caption="Cleaned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" refreshedDate="45920.606820023146" backgroundQuery="1" createdVersion="8" refreshedVersion="8" minRefreshableVersion="3" recordCount="0" supportSubquery="1" supportAdvancedDrill="1" xr:uid="{74BEF4E7-9E89-4F0A-805A-F72E1A811E65}">
  <cacheSource type="external" connectionId="3"/>
  <cacheFields count="1">
    <cacheField name="[Measures].[Average of Age]" caption="Average of Age" numFmtId="0" hierarchy="15" level="32767"/>
  </cacheFields>
  <cacheHierarchies count="22">
    <cacheHierarchy uniqueName="[Cleaned_Data].[fNAME]" caption="fNAME" attribute="1" defaultMemberUniqueName="[Cleaned_Data].[fNAME].[All]" allUniqueName="[Cleaned_Data].[fNAME].[All]" dimensionUniqueName="[Cleaned_Data]" displayFolder="" count="0" memberValueDatatype="130" unbalanced="0"/>
    <cacheHierarchy uniqueName="[Cleaned_Data].[lNAME]" caption="lNAME" attribute="1" defaultMemberUniqueName="[Cleaned_Data].[lNAME].[All]" allUniqueName="[Cleaned_Data].[lNAME].[All]" dimensionUniqueName="[Cleaned_Data]" displayFolder="" count="0" memberValueDatatype="130" unbalanced="0"/>
    <cacheHierarchy uniqueName="[Cleaned_Data].[Age]" caption="Age" attribute="1" defaultMemberUniqueName="[Cleaned_Data].[Age].[All]" allUniqueName="[Cleaned_Data].[Age].[All]" dimensionUniqueName="[Cleaned_Data]" displayFolder="" count="0" memberValueDatatype="20" unbalanced="0"/>
    <cacheHierarchy uniqueName="[Cleaned_Data].[gender]" caption="gender" attribute="1" defaultMemberUniqueName="[Cleaned_Data].[gender].[All]" allUniqueName="[Cleaned_Data].[gender].[All]" dimensionUniqueName="[Cleaned_Data]" displayFolder="" count="0" memberValueDatatype="130" unbalanced="0"/>
    <cacheHierarchy uniqueName="[Cleaned_Data].[country]" caption="country" attribute="1" defaultMemberUniqueName="[Cleaned_Data].[country].[All]" allUniqueName="[Cleaned_Data].[country].[All]" dimensionUniqueName="[Cleaned_Data]" displayFolder="" count="0" memberValueDatatype="130" unbalanced="0"/>
    <cacheHierarchy uniqueName="[Cleaned_Data].[residence]" caption="residence" attribute="1" defaultMemberUniqueName="[Cleaned_Data].[residence].[All]" allUniqueName="[Cleaned_Data].[residence].[All]" dimensionUniqueName="[Cleaned_Data]" displayFolder="" count="0" memberValueDatatype="130" unbalanced="0"/>
    <cacheHierarchy uniqueName="[Cleaned_Data].[entryEXAM]" caption="entryEXAM" attribute="1" defaultMemberUniqueName="[Cleaned_Data].[entryEXAM].[All]" allUniqueName="[Cleaned_Data].[entryEXAM].[All]" dimensionUniqueName="[Cleaned_Data]" displayFolder="" count="0" memberValueDatatype="20" unbalanced="0"/>
    <cacheHierarchy uniqueName="[Cleaned_Data].[prevEducation]" caption="prevEducation" attribute="1" defaultMemberUniqueName="[Cleaned_Data].[prevEducation].[All]" allUniqueName="[Cleaned_Data].[prevEducation].[All]" dimensionUniqueName="[Cleaned_Data]" displayFolder="" count="0" memberValueDatatype="130" unbalanced="0"/>
    <cacheHierarchy uniqueName="[Cleaned_Data].[studyHOURS]" caption="studyHOURS" attribute="1" defaultMemberUniqueName="[Cleaned_Data].[studyHOURS].[All]" allUniqueName="[Cleaned_Data].[studyHOURS].[All]" dimensionUniqueName="[Cleaned_Data]" displayFolder="" count="0" memberValueDatatype="20" unbalanced="0"/>
    <cacheHierarchy uniqueName="[Cleaned_Data].[Python]" caption="Python" attribute="1" defaultMemberUniqueName="[Cleaned_Data].[Python].[All]" allUniqueName="[Cleaned_Data].[Python].[All]" dimensionUniqueName="[Cleaned_Data]" displayFolder="" count="0" memberValueDatatype="20" unbalanced="0"/>
    <cacheHierarchy uniqueName="[Cleaned_Data].[DB]" caption="DB" attribute="1" defaultMemberUniqueName="[Cleaned_Data].[DB].[All]" allUniqueName="[Cleaned_Data].[DB].[All]" dimensionUniqueName="[Cleaned_Data]" displayFolder="" count="0" memberValueDatatype="20" unbalanced="0"/>
    <cacheHierarchy uniqueName="[Measures].[__XL_Count Cleaned_Data]" caption="__XL_Count Cleaned_Data" measure="1" displayFolder="" measureGroup="Cleaned_Data" count="0" hidden="1"/>
    <cacheHierarchy uniqueName="[Measures].[__No measures defined]" caption="__No measures defined" measure="1" displayFolder="" count="0" hidden="1"/>
    <cacheHierarchy uniqueName="[Measures].[Count of fNAME]" caption="Count of fNAME" measure="1" displayFolder="" measureGroup="Cleaned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Age]" caption="Sum of Age" measure="1" displayFolder="" measureGroup="Cleaned_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Age]" caption="Average of Age" measure="1" displayFolder="" measureGroup="Cleaned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tudyHOURS]" caption="Sum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tudyHOURS]" caption="Average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ython]" caption="Sum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ython]" caption="Average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entryEXAM]" caption="Sum of entryEXAM" measure="1" displayFolder="" measureGroup="Cleaned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entryEXAM]" caption="Average of entryEXAM" measure="1" displayFolder="" measureGroup="Cleaned_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name="Cleaned_Data" uniqueName="[Cleaned_Data]" caption="Cleaned_Data"/>
    <dimension measure="1" name="Measures" uniqueName="[Measures]" caption="Measures"/>
  </dimensions>
  <measureGroups count="1">
    <measureGroup name="Cleaned_Data" caption="Cleaned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" refreshedDate="45920.646385995373" backgroundQuery="1" createdVersion="8" refreshedVersion="8" minRefreshableVersion="3" recordCount="0" supportSubquery="1" supportAdvancedDrill="1" xr:uid="{6692CBE2-5911-4654-8CC7-458E70F7D197}">
  <cacheSource type="external" connectionId="3"/>
  <cacheFields count="3">
    <cacheField name="[Cleaned_Data].[prevEducation].[prevEducation]" caption="prevEducation" numFmtId="0" hierarchy="7" level="1">
      <sharedItems count="5">
        <s v="High School"/>
        <s v="Diploma"/>
        <s v="Bachelors"/>
        <s v="Masters"/>
        <s v="Doctorate"/>
      </sharedItems>
    </cacheField>
    <cacheField name="[Cleaned_Data].[gender].[gender]" caption="gender" numFmtId="0" hierarchy="3" level="1">
      <sharedItems count="2">
        <s v="Female"/>
        <s v="Male"/>
      </sharedItems>
    </cacheField>
    <cacheField name="[Measures].[Average of Python]" caption="Average of Python" numFmtId="0" hierarchy="20" level="32767"/>
  </cacheFields>
  <cacheHierarchies count="21">
    <cacheHierarchy uniqueName="[Cleaned_Data].[fNAME]" caption="fNAME" attribute="1" defaultMemberUniqueName="[Cleaned_Data].[fNAME].[All]" allUniqueName="[Cleaned_Data].[fNAME].[All]" dimensionUniqueName="[Cleaned_Data]" displayFolder="" count="0" memberValueDatatype="130" unbalanced="0"/>
    <cacheHierarchy uniqueName="[Cleaned_Data].[lNAME]" caption="lNAME" attribute="1" defaultMemberUniqueName="[Cleaned_Data].[lNAME].[All]" allUniqueName="[Cleaned_Data].[lNAME].[All]" dimensionUniqueName="[Cleaned_Data]" displayFolder="" count="0" memberValueDatatype="130" unbalanced="0"/>
    <cacheHierarchy uniqueName="[Cleaned_Data].[Age]" caption="Age" attribute="1" defaultMemberUniqueName="[Cleaned_Data].[Age].[All]" allUniqueName="[Cleaned_Data].[Age].[All]" dimensionUniqueName="[Cleaned_Data]" displayFolder="" count="0" memberValueDatatype="20" unbalanced="0"/>
    <cacheHierarchy uniqueName="[Cleaned_Data].[gender]" caption="gender" attribute="1" defaultMemberUniqueName="[Cleaned_Data].[gender].[All]" allUniqueName="[Cleaned_Data].[gender].[All]" dimensionUniqueName="[Cleaned_Data]" displayFolder="" count="2" memberValueDatatype="130" unbalanced="0">
      <fieldsUsage count="2">
        <fieldUsage x="-1"/>
        <fieldUsage x="1"/>
      </fieldsUsage>
    </cacheHierarchy>
    <cacheHierarchy uniqueName="[Cleaned_Data].[country]" caption="country" attribute="1" defaultMemberUniqueName="[Cleaned_Data].[country].[All]" allUniqueName="[Cleaned_Data].[country].[All]" dimensionUniqueName="[Cleaned_Data]" displayFolder="" count="0" memberValueDatatype="130" unbalanced="0"/>
    <cacheHierarchy uniqueName="[Cleaned_Data].[residence]" caption="residence" attribute="1" defaultMemberUniqueName="[Cleaned_Data].[residence].[All]" allUniqueName="[Cleaned_Data].[residence].[All]" dimensionUniqueName="[Cleaned_Data]" displayFolder="" count="0" memberValueDatatype="130" unbalanced="0"/>
    <cacheHierarchy uniqueName="[Cleaned_Data].[entryEXAM]" caption="entryEXAM" attribute="1" defaultMemberUniqueName="[Cleaned_Data].[entryEXAM].[All]" allUniqueName="[Cleaned_Data].[entryEXAM].[All]" dimensionUniqueName="[Cleaned_Data]" displayFolder="" count="0" memberValueDatatype="20" unbalanced="0"/>
    <cacheHierarchy uniqueName="[Cleaned_Data].[prevEducation]" caption="prevEducation" attribute="1" defaultMemberUniqueName="[Cleaned_Data].[prevEducation].[All]" allUniqueName="[Cleaned_Data].[prevEducation].[All]" dimensionUniqueName="[Cleaned_Data]" displayFolder="" count="2" memberValueDatatype="130" unbalanced="0">
      <fieldsUsage count="2">
        <fieldUsage x="-1"/>
        <fieldUsage x="0"/>
      </fieldsUsage>
    </cacheHierarchy>
    <cacheHierarchy uniqueName="[Cleaned_Data].[studyHOURS]" caption="studyHOURS" attribute="1" defaultMemberUniqueName="[Cleaned_Data].[studyHOURS].[All]" allUniqueName="[Cleaned_Data].[studyHOURS].[All]" dimensionUniqueName="[Cleaned_Data]" displayFolder="" count="0" memberValueDatatype="20" unbalanced="0"/>
    <cacheHierarchy uniqueName="[Cleaned_Data].[Python]" caption="Python" attribute="1" defaultMemberUniqueName="[Cleaned_Data].[Python].[All]" allUniqueName="[Cleaned_Data].[Python].[All]" dimensionUniqueName="[Cleaned_Data]" displayFolder="" count="0" memberValueDatatype="20" unbalanced="0"/>
    <cacheHierarchy uniqueName="[Cleaned_Data].[DB]" caption="DB" attribute="1" defaultMemberUniqueName="[Cleaned_Data].[DB].[All]" allUniqueName="[Cleaned_Data].[DB].[All]" dimensionUniqueName="[Cleaned_Data]" displayFolder="" count="0" memberValueDatatype="20" unbalanced="0"/>
    <cacheHierarchy uniqueName="[Cleaned_Data].[SortEducation]" caption="SortEducation" attribute="1" defaultMemberUniqueName="[Cleaned_Data].[SortEducation].[All]" allUniqueName="[Cleaned_Data].[SortEducation].[All]" dimensionUniqueName="[Cleaned_Data]" displayFolder="" count="0" memberValueDatatype="20" unbalanced="0"/>
    <cacheHierarchy uniqueName="[Measures].[__XL_Count Cleaned_Data]" caption="__XL_Count Cleaned_Data" measure="1" displayFolder="" measureGroup="Cleaned_Data" count="0" hidden="1"/>
    <cacheHierarchy uniqueName="[Measures].[__No measures defined]" caption="__No measures defined" measure="1" displayFolder="" count="0" hidden="1"/>
    <cacheHierarchy uniqueName="[Measures].[Count of fNAME]" caption="Count of fNAME" measure="1" displayFolder="" measureGroup="Cleaned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rtEducation]" caption="Sum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SortEducation]" caption="Min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tudyHOURS]" caption="Sum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tudyHOURS]" caption="Average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ython]" caption="Sum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ython]" caption="Average of Python" measure="1" displayFolder="" measureGroup="Cleaned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leaned_Data" uniqueName="[Cleaned_Data]" caption="Cleaned_Data"/>
    <dimension measure="1" name="Measures" uniqueName="[Measures]" caption="Measures"/>
  </dimensions>
  <measureGroups count="1">
    <measureGroup name="Cleaned_Data" caption="Cleaned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" refreshedDate="45920.635532175926" backgroundQuery="1" createdVersion="8" refreshedVersion="8" minRefreshableVersion="3" recordCount="0" supportSubquery="1" supportAdvancedDrill="1" xr:uid="{97B59DD3-CE57-466B-89F8-F56E4FCC4D56}">
  <cacheSource type="external" connectionId="3"/>
  <cacheFields count="2">
    <cacheField name="[Cleaned_Data].[gender].[gender]" caption="gender" numFmtId="0" hierarchy="3" level="1">
      <sharedItems count="2">
        <s v="Female"/>
        <s v="Male"/>
      </sharedItems>
    </cacheField>
    <cacheField name="[Measures].[Average of studyHOURS]" caption="Average of studyHOURS" numFmtId="0" hierarchy="18" level="32767"/>
  </cacheFields>
  <cacheHierarchies count="21">
    <cacheHierarchy uniqueName="[Cleaned_Data].[fNAME]" caption="fNAME" attribute="1" defaultMemberUniqueName="[Cleaned_Data].[fNAME].[All]" allUniqueName="[Cleaned_Data].[fNAME].[All]" dimensionUniqueName="[Cleaned_Data]" displayFolder="" count="0" memberValueDatatype="130" unbalanced="0"/>
    <cacheHierarchy uniqueName="[Cleaned_Data].[lNAME]" caption="lNAME" attribute="1" defaultMemberUniqueName="[Cleaned_Data].[lNAME].[All]" allUniqueName="[Cleaned_Data].[lNAME].[All]" dimensionUniqueName="[Cleaned_Data]" displayFolder="" count="0" memberValueDatatype="130" unbalanced="0"/>
    <cacheHierarchy uniqueName="[Cleaned_Data].[Age]" caption="Age" attribute="1" defaultMemberUniqueName="[Cleaned_Data].[Age].[All]" allUniqueName="[Cleaned_Data].[Age].[All]" dimensionUniqueName="[Cleaned_Data]" displayFolder="" count="0" memberValueDatatype="20" unbalanced="0"/>
    <cacheHierarchy uniqueName="[Cleaned_Data].[gender]" caption="gender" attribute="1" defaultMemberUniqueName="[Cleaned_Data].[gender].[All]" allUniqueName="[Cleaned_Data].[gender].[All]" dimensionUniqueName="[Cleaned_Data]" displayFolder="" count="2" memberValueDatatype="130" unbalanced="0">
      <fieldsUsage count="2">
        <fieldUsage x="-1"/>
        <fieldUsage x="0"/>
      </fieldsUsage>
    </cacheHierarchy>
    <cacheHierarchy uniqueName="[Cleaned_Data].[country]" caption="country" attribute="1" defaultMemberUniqueName="[Cleaned_Data].[country].[All]" allUniqueName="[Cleaned_Data].[country].[All]" dimensionUniqueName="[Cleaned_Data]" displayFolder="" count="0" memberValueDatatype="130" unbalanced="0"/>
    <cacheHierarchy uniqueName="[Cleaned_Data].[residence]" caption="residence" attribute="1" defaultMemberUniqueName="[Cleaned_Data].[residence].[All]" allUniqueName="[Cleaned_Data].[residence].[All]" dimensionUniqueName="[Cleaned_Data]" displayFolder="" count="0" memberValueDatatype="130" unbalanced="0"/>
    <cacheHierarchy uniqueName="[Cleaned_Data].[entryEXAM]" caption="entryEXAM" attribute="1" defaultMemberUniqueName="[Cleaned_Data].[entryEXAM].[All]" allUniqueName="[Cleaned_Data].[entryEXAM].[All]" dimensionUniqueName="[Cleaned_Data]" displayFolder="" count="0" memberValueDatatype="20" unbalanced="0"/>
    <cacheHierarchy uniqueName="[Cleaned_Data].[prevEducation]" caption="prevEducation" attribute="1" defaultMemberUniqueName="[Cleaned_Data].[prevEducation].[All]" allUniqueName="[Cleaned_Data].[prevEducation].[All]" dimensionUniqueName="[Cleaned_Data]" displayFolder="" count="0" memberValueDatatype="130" unbalanced="0"/>
    <cacheHierarchy uniqueName="[Cleaned_Data].[studyHOURS]" caption="studyHOURS" attribute="1" defaultMemberUniqueName="[Cleaned_Data].[studyHOURS].[All]" allUniqueName="[Cleaned_Data].[studyHOURS].[All]" dimensionUniqueName="[Cleaned_Data]" displayFolder="" count="0" memberValueDatatype="20" unbalanced="0"/>
    <cacheHierarchy uniqueName="[Cleaned_Data].[Python]" caption="Python" attribute="1" defaultMemberUniqueName="[Cleaned_Data].[Python].[All]" allUniqueName="[Cleaned_Data].[Python].[All]" dimensionUniqueName="[Cleaned_Data]" displayFolder="" count="0" memberValueDatatype="20" unbalanced="0"/>
    <cacheHierarchy uniqueName="[Cleaned_Data].[DB]" caption="DB" attribute="1" defaultMemberUniqueName="[Cleaned_Data].[DB].[All]" allUniqueName="[Cleaned_Data].[DB].[All]" dimensionUniqueName="[Cleaned_Data]" displayFolder="" count="0" memberValueDatatype="20" unbalanced="0"/>
    <cacheHierarchy uniqueName="[Cleaned_Data].[SortEducation]" caption="SortEducation" attribute="1" defaultMemberUniqueName="[Cleaned_Data].[SortEducation].[All]" allUniqueName="[Cleaned_Data].[SortEducation].[All]" dimensionUniqueName="[Cleaned_Data]" displayFolder="" count="0" memberValueDatatype="20" unbalanced="0"/>
    <cacheHierarchy uniqueName="[Measures].[__XL_Count Cleaned_Data]" caption="__XL_Count Cleaned_Data" measure="1" displayFolder="" measureGroup="Cleaned_Data" count="0" hidden="1"/>
    <cacheHierarchy uniqueName="[Measures].[__No measures defined]" caption="__No measures defined" measure="1" displayFolder="" count="0" hidden="1"/>
    <cacheHierarchy uniqueName="[Measures].[Count of fNAME]" caption="Count of fNAME" measure="1" displayFolder="" measureGroup="Cleaned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rtEducation]" caption="Sum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SortEducation]" caption="Min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tudyHOURS]" caption="Sum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tudyHOURS]" caption="Average of studyHOURS" measure="1" displayFolder="" measureGroup="Cleaned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ython]" caption="Sum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ython]" caption="Average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leaned_Data" uniqueName="[Cleaned_Data]" caption="Cleaned_Data"/>
    <dimension measure="1" name="Measures" uniqueName="[Measures]" caption="Measures"/>
  </dimensions>
  <measureGroups count="1">
    <measureGroup name="Cleaned_Data" caption="Cleaned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" refreshedDate="45920.635028240744" backgroundQuery="1" createdVersion="8" refreshedVersion="8" minRefreshableVersion="3" recordCount="0" supportSubquery="1" supportAdvancedDrill="1" xr:uid="{931B3650-7BF9-401B-AF40-EC8016C59241}">
  <cacheSource type="external" connectionId="3"/>
  <cacheFields count="2">
    <cacheField name="[Cleaned_Data].[prevEducation].[prevEducation]" caption="prevEducation" numFmtId="0" hierarchy="7" level="1">
      <sharedItems count="5">
        <s v="High School"/>
        <s v="Diploma"/>
        <s v="Bachelors"/>
        <s v="Masters"/>
        <s v="Doctorate"/>
      </sharedItems>
    </cacheField>
    <cacheField name="[Measures].[Count of fNAME]" caption="Count of fNAME" numFmtId="0" hierarchy="14" level="32767"/>
  </cacheFields>
  <cacheHierarchies count="21">
    <cacheHierarchy uniqueName="[Cleaned_Data].[fNAME]" caption="fNAME" attribute="1" defaultMemberUniqueName="[Cleaned_Data].[fNAME].[All]" allUniqueName="[Cleaned_Data].[fNAME].[All]" dimensionUniqueName="[Cleaned_Data]" displayFolder="" count="0" memberValueDatatype="130" unbalanced="0"/>
    <cacheHierarchy uniqueName="[Cleaned_Data].[lNAME]" caption="lNAME" attribute="1" defaultMemberUniqueName="[Cleaned_Data].[lNAME].[All]" allUniqueName="[Cleaned_Data].[lNAME].[All]" dimensionUniqueName="[Cleaned_Data]" displayFolder="" count="0" memberValueDatatype="130" unbalanced="0"/>
    <cacheHierarchy uniqueName="[Cleaned_Data].[Age]" caption="Age" attribute="1" defaultMemberUniqueName="[Cleaned_Data].[Age].[All]" allUniqueName="[Cleaned_Data].[Age].[All]" dimensionUniqueName="[Cleaned_Data]" displayFolder="" count="0" memberValueDatatype="20" unbalanced="0"/>
    <cacheHierarchy uniqueName="[Cleaned_Data].[gender]" caption="gender" attribute="1" defaultMemberUniqueName="[Cleaned_Data].[gender].[All]" allUniqueName="[Cleaned_Data].[gender].[All]" dimensionUniqueName="[Cleaned_Data]" displayFolder="" count="0" memberValueDatatype="130" unbalanced="0"/>
    <cacheHierarchy uniqueName="[Cleaned_Data].[country]" caption="country" attribute="1" defaultMemberUniqueName="[Cleaned_Data].[country].[All]" allUniqueName="[Cleaned_Data].[country].[All]" dimensionUniqueName="[Cleaned_Data]" displayFolder="" count="0" memberValueDatatype="130" unbalanced="0"/>
    <cacheHierarchy uniqueName="[Cleaned_Data].[residence]" caption="residence" attribute="1" defaultMemberUniqueName="[Cleaned_Data].[residence].[All]" allUniqueName="[Cleaned_Data].[residence].[All]" dimensionUniqueName="[Cleaned_Data]" displayFolder="" count="0" memberValueDatatype="130" unbalanced="0"/>
    <cacheHierarchy uniqueName="[Cleaned_Data].[entryEXAM]" caption="entryEXAM" attribute="1" defaultMemberUniqueName="[Cleaned_Data].[entryEXAM].[All]" allUniqueName="[Cleaned_Data].[entryEXAM].[All]" dimensionUniqueName="[Cleaned_Data]" displayFolder="" count="0" memberValueDatatype="20" unbalanced="0"/>
    <cacheHierarchy uniqueName="[Cleaned_Data].[prevEducation]" caption="prevEducation" attribute="1" defaultMemberUniqueName="[Cleaned_Data].[prevEducation].[All]" allUniqueName="[Cleaned_Data].[prevEducation].[All]" dimensionUniqueName="[Cleaned_Data]" displayFolder="" count="2" memberValueDatatype="130" unbalanced="0">
      <fieldsUsage count="2">
        <fieldUsage x="-1"/>
        <fieldUsage x="0"/>
      </fieldsUsage>
    </cacheHierarchy>
    <cacheHierarchy uniqueName="[Cleaned_Data].[studyHOURS]" caption="studyHOURS" attribute="1" defaultMemberUniqueName="[Cleaned_Data].[studyHOURS].[All]" allUniqueName="[Cleaned_Data].[studyHOURS].[All]" dimensionUniqueName="[Cleaned_Data]" displayFolder="" count="0" memberValueDatatype="20" unbalanced="0"/>
    <cacheHierarchy uniqueName="[Cleaned_Data].[Python]" caption="Python" attribute="1" defaultMemberUniqueName="[Cleaned_Data].[Python].[All]" allUniqueName="[Cleaned_Data].[Python].[All]" dimensionUniqueName="[Cleaned_Data]" displayFolder="" count="0" memberValueDatatype="20" unbalanced="0"/>
    <cacheHierarchy uniqueName="[Cleaned_Data].[DB]" caption="DB" attribute="1" defaultMemberUniqueName="[Cleaned_Data].[DB].[All]" allUniqueName="[Cleaned_Data].[DB].[All]" dimensionUniqueName="[Cleaned_Data]" displayFolder="" count="0" memberValueDatatype="20" unbalanced="0"/>
    <cacheHierarchy uniqueName="[Cleaned_Data].[SortEducation]" caption="SortEducation" attribute="1" defaultMemberUniqueName="[Cleaned_Data].[SortEducation].[All]" allUniqueName="[Cleaned_Data].[SortEducation].[All]" dimensionUniqueName="[Cleaned_Data]" displayFolder="" count="0" memberValueDatatype="20" unbalanced="0"/>
    <cacheHierarchy uniqueName="[Measures].[__XL_Count Cleaned_Data]" caption="__XL_Count Cleaned_Data" measure="1" displayFolder="" measureGroup="Cleaned_Data" count="0" hidden="1"/>
    <cacheHierarchy uniqueName="[Measures].[__No measures defined]" caption="__No measures defined" measure="1" displayFolder="" count="0" hidden="1"/>
    <cacheHierarchy uniqueName="[Measures].[Count of fNAME]" caption="Count of fNAME" measure="1" displayFolder="" measureGroup="Cleaned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rtEducation]" caption="Sum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SortEducation]" caption="Min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tudyHOURS]" caption="Sum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tudyHOURS]" caption="Average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ython]" caption="Sum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ython]" caption="Average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leaned_Data" uniqueName="[Cleaned_Data]" caption="Cleaned_Data"/>
    <dimension measure="1" name="Measures" uniqueName="[Measures]" caption="Measures"/>
  </dimensions>
  <measureGroups count="1">
    <measureGroup name="Cleaned_Data" caption="Cleaned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" refreshedDate="45920.632252546297" backgroundQuery="1" createdVersion="8" refreshedVersion="8" minRefreshableVersion="3" recordCount="0" supportSubquery="1" supportAdvancedDrill="1" xr:uid="{86C5DE9C-9371-4ADF-91F8-B10B093F7EEB}">
  <cacheSource type="external" connectionId="3"/>
  <cacheFields count="3">
    <cacheField name="[Cleaned_Data].[country].[country]" caption="country" numFmtId="0" hierarchy="4" level="1">
      <sharedItems count="15">
        <s v="Denmark"/>
        <s v="France"/>
        <s v="Germany"/>
        <s v="Italy"/>
        <s v="Kenya"/>
        <s v="Netherlands"/>
        <s v="Nigeria"/>
        <s v="Norge"/>
        <s v="Norway"/>
        <s v="Rsa"/>
        <s v="Somali"/>
        <s v="South Africa"/>
        <s v="Spain"/>
        <s v="Uganda"/>
        <s v="Uk"/>
      </sharedItems>
    </cacheField>
    <cacheField name="[Cleaned_Data].[residence].[residence]" caption="residence" numFmtId="0" hierarchy="5" level="1">
      <sharedItems count="3">
        <s v="Biresidence"/>
        <s v="Private"/>
        <s v="Sognsvann"/>
      </sharedItems>
    </cacheField>
    <cacheField name="[Measures].[Count of fNAME]" caption="Count of fNAME" numFmtId="0" hierarchy="14" level="32767"/>
  </cacheFields>
  <cacheHierarchies count="21">
    <cacheHierarchy uniqueName="[Cleaned_Data].[fNAME]" caption="fNAME" attribute="1" defaultMemberUniqueName="[Cleaned_Data].[fNAME].[All]" allUniqueName="[Cleaned_Data].[fNAME].[All]" dimensionUniqueName="[Cleaned_Data]" displayFolder="" count="0" memberValueDatatype="130" unbalanced="0"/>
    <cacheHierarchy uniqueName="[Cleaned_Data].[lNAME]" caption="lNAME" attribute="1" defaultMemberUniqueName="[Cleaned_Data].[lNAME].[All]" allUniqueName="[Cleaned_Data].[lNAME].[All]" dimensionUniqueName="[Cleaned_Data]" displayFolder="" count="0" memberValueDatatype="130" unbalanced="0"/>
    <cacheHierarchy uniqueName="[Cleaned_Data].[Age]" caption="Age" attribute="1" defaultMemberUniqueName="[Cleaned_Data].[Age].[All]" allUniqueName="[Cleaned_Data].[Age].[All]" dimensionUniqueName="[Cleaned_Data]" displayFolder="" count="0" memberValueDatatype="20" unbalanced="0"/>
    <cacheHierarchy uniqueName="[Cleaned_Data].[gender]" caption="gender" attribute="1" defaultMemberUniqueName="[Cleaned_Data].[gender].[All]" allUniqueName="[Cleaned_Data].[gender].[All]" dimensionUniqueName="[Cleaned_Data]" displayFolder="" count="0" memberValueDatatype="130" unbalanced="0"/>
    <cacheHierarchy uniqueName="[Cleaned_Data].[country]" caption="country" attribute="1" defaultMemberUniqueName="[Cleaned_Data].[country].[All]" allUniqueName="[Cleaned_Data].[country].[All]" dimensionUniqueName="[Cleaned_Data]" displayFolder="" count="2" memberValueDatatype="130" unbalanced="0">
      <fieldsUsage count="2">
        <fieldUsage x="-1"/>
        <fieldUsage x="0"/>
      </fieldsUsage>
    </cacheHierarchy>
    <cacheHierarchy uniqueName="[Cleaned_Data].[residence]" caption="residence" attribute="1" defaultMemberUniqueName="[Cleaned_Data].[residence].[All]" allUniqueName="[Cleaned_Data].[residence].[All]" dimensionUniqueName="[Cleaned_Data]" displayFolder="" count="2" memberValueDatatype="130" unbalanced="0">
      <fieldsUsage count="2">
        <fieldUsage x="-1"/>
        <fieldUsage x="1"/>
      </fieldsUsage>
    </cacheHierarchy>
    <cacheHierarchy uniqueName="[Cleaned_Data].[entryEXAM]" caption="entryEXAM" attribute="1" defaultMemberUniqueName="[Cleaned_Data].[entryEXAM].[All]" allUniqueName="[Cleaned_Data].[entryEXAM].[All]" dimensionUniqueName="[Cleaned_Data]" displayFolder="" count="0" memberValueDatatype="20" unbalanced="0"/>
    <cacheHierarchy uniqueName="[Cleaned_Data].[prevEducation]" caption="prevEducation" attribute="1" defaultMemberUniqueName="[Cleaned_Data].[prevEducation].[All]" allUniqueName="[Cleaned_Data].[prevEducation].[All]" dimensionUniqueName="[Cleaned_Data]" displayFolder="" count="0" memberValueDatatype="130" unbalanced="0"/>
    <cacheHierarchy uniqueName="[Cleaned_Data].[studyHOURS]" caption="studyHOURS" attribute="1" defaultMemberUniqueName="[Cleaned_Data].[studyHOURS].[All]" allUniqueName="[Cleaned_Data].[studyHOURS].[All]" dimensionUniqueName="[Cleaned_Data]" displayFolder="" count="0" memberValueDatatype="20" unbalanced="0"/>
    <cacheHierarchy uniqueName="[Cleaned_Data].[Python]" caption="Python" attribute="1" defaultMemberUniqueName="[Cleaned_Data].[Python].[All]" allUniqueName="[Cleaned_Data].[Python].[All]" dimensionUniqueName="[Cleaned_Data]" displayFolder="" count="0" memberValueDatatype="20" unbalanced="0"/>
    <cacheHierarchy uniqueName="[Cleaned_Data].[DB]" caption="DB" attribute="1" defaultMemberUniqueName="[Cleaned_Data].[DB].[All]" allUniqueName="[Cleaned_Data].[DB].[All]" dimensionUniqueName="[Cleaned_Data]" displayFolder="" count="0" memberValueDatatype="20" unbalanced="0"/>
    <cacheHierarchy uniqueName="[Cleaned_Data].[SortEducation]" caption="SortEducation" attribute="1" defaultMemberUniqueName="[Cleaned_Data].[SortEducation].[All]" allUniqueName="[Cleaned_Data].[SortEducation].[All]" dimensionUniqueName="[Cleaned_Data]" displayFolder="" count="0" memberValueDatatype="20" unbalanced="0"/>
    <cacheHierarchy uniqueName="[Measures].[__XL_Count Cleaned_Data]" caption="__XL_Count Cleaned_Data" measure="1" displayFolder="" measureGroup="Cleaned_Data" count="0" hidden="1"/>
    <cacheHierarchy uniqueName="[Measures].[__No measures defined]" caption="__No measures defined" measure="1" displayFolder="" count="0" hidden="1"/>
    <cacheHierarchy uniqueName="[Measures].[Count of fNAME]" caption="Count of fNAME" measure="1" displayFolder="" measureGroup="Cleaned_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rtEducation]" caption="Sum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SortEducation]" caption="Min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tudyHOURS]" caption="Sum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tudyHOURS]" caption="Average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ython]" caption="Sum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ython]" caption="Average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leaned_Data" uniqueName="[Cleaned_Data]" caption="Cleaned_Data"/>
    <dimension measure="1" name="Measures" uniqueName="[Measures]" caption="Measures"/>
  </dimensions>
  <measureGroups count="1">
    <measureGroup name="Cleaned_Data" caption="Cleaned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" refreshedDate="45920.63225347222" backgroundQuery="1" createdVersion="8" refreshedVersion="8" minRefreshableVersion="3" recordCount="0" supportSubquery="1" supportAdvancedDrill="1" xr:uid="{FC4C9F58-9B12-45F7-B024-782D4719A56F}">
  <cacheSource type="external" connectionId="3"/>
  <cacheFields count="2">
    <cacheField name="[Cleaned_Data].[country].[country]" caption="country" numFmtId="0" hierarchy="4" level="1">
      <sharedItems count="15">
        <s v="Denmark"/>
        <s v="France"/>
        <s v="Germany"/>
        <s v="Italy"/>
        <s v="Kenya"/>
        <s v="Netherlands"/>
        <s v="Nigeria"/>
        <s v="Norge"/>
        <s v="Norway"/>
        <s v="Rsa"/>
        <s v="Somali"/>
        <s v="South Africa"/>
        <s v="Spain"/>
        <s v="Uganda"/>
        <s v="Uk"/>
      </sharedItems>
    </cacheField>
    <cacheField name="[Measures].[Count of fNAME]" caption="Count of fNAME" numFmtId="0" hierarchy="14" level="32767"/>
  </cacheFields>
  <cacheHierarchies count="21">
    <cacheHierarchy uniqueName="[Cleaned_Data].[fNAME]" caption="fNAME" attribute="1" defaultMemberUniqueName="[Cleaned_Data].[fNAME].[All]" allUniqueName="[Cleaned_Data].[fNAME].[All]" dimensionUniqueName="[Cleaned_Data]" displayFolder="" count="0" memberValueDatatype="130" unbalanced="0"/>
    <cacheHierarchy uniqueName="[Cleaned_Data].[lNAME]" caption="lNAME" attribute="1" defaultMemberUniqueName="[Cleaned_Data].[lNAME].[All]" allUniqueName="[Cleaned_Data].[lNAME].[All]" dimensionUniqueName="[Cleaned_Data]" displayFolder="" count="0" memberValueDatatype="130" unbalanced="0"/>
    <cacheHierarchy uniqueName="[Cleaned_Data].[Age]" caption="Age" attribute="1" defaultMemberUniqueName="[Cleaned_Data].[Age].[All]" allUniqueName="[Cleaned_Data].[Age].[All]" dimensionUniqueName="[Cleaned_Data]" displayFolder="" count="0" memberValueDatatype="20" unbalanced="0"/>
    <cacheHierarchy uniqueName="[Cleaned_Data].[gender]" caption="gender" attribute="1" defaultMemberUniqueName="[Cleaned_Data].[gender].[All]" allUniqueName="[Cleaned_Data].[gender].[All]" dimensionUniqueName="[Cleaned_Data]" displayFolder="" count="0" memberValueDatatype="130" unbalanced="0"/>
    <cacheHierarchy uniqueName="[Cleaned_Data].[country]" caption="country" attribute="1" defaultMemberUniqueName="[Cleaned_Data].[country].[All]" allUniqueName="[Cleaned_Data].[country].[All]" dimensionUniqueName="[Cleaned_Data]" displayFolder="" count="2" memberValueDatatype="130" unbalanced="0">
      <fieldsUsage count="2">
        <fieldUsage x="-1"/>
        <fieldUsage x="0"/>
      </fieldsUsage>
    </cacheHierarchy>
    <cacheHierarchy uniqueName="[Cleaned_Data].[residence]" caption="residence" attribute="1" defaultMemberUniqueName="[Cleaned_Data].[residence].[All]" allUniqueName="[Cleaned_Data].[residence].[All]" dimensionUniqueName="[Cleaned_Data]" displayFolder="" count="0" memberValueDatatype="130" unbalanced="0"/>
    <cacheHierarchy uniqueName="[Cleaned_Data].[entryEXAM]" caption="entryEXAM" attribute="1" defaultMemberUniqueName="[Cleaned_Data].[entryEXAM].[All]" allUniqueName="[Cleaned_Data].[entryEXAM].[All]" dimensionUniqueName="[Cleaned_Data]" displayFolder="" count="0" memberValueDatatype="20" unbalanced="0"/>
    <cacheHierarchy uniqueName="[Cleaned_Data].[prevEducation]" caption="prevEducation" attribute="1" defaultMemberUniqueName="[Cleaned_Data].[prevEducation].[All]" allUniqueName="[Cleaned_Data].[prevEducation].[All]" dimensionUniqueName="[Cleaned_Data]" displayFolder="" count="0" memberValueDatatype="130" unbalanced="0"/>
    <cacheHierarchy uniqueName="[Cleaned_Data].[studyHOURS]" caption="studyHOURS" attribute="1" defaultMemberUniqueName="[Cleaned_Data].[studyHOURS].[All]" allUniqueName="[Cleaned_Data].[studyHOURS].[All]" dimensionUniqueName="[Cleaned_Data]" displayFolder="" count="0" memberValueDatatype="20" unbalanced="0"/>
    <cacheHierarchy uniqueName="[Cleaned_Data].[Python]" caption="Python" attribute="1" defaultMemberUniqueName="[Cleaned_Data].[Python].[All]" allUniqueName="[Cleaned_Data].[Python].[All]" dimensionUniqueName="[Cleaned_Data]" displayFolder="" count="0" memberValueDatatype="20" unbalanced="0"/>
    <cacheHierarchy uniqueName="[Cleaned_Data].[DB]" caption="DB" attribute="1" defaultMemberUniqueName="[Cleaned_Data].[DB].[All]" allUniqueName="[Cleaned_Data].[DB].[All]" dimensionUniqueName="[Cleaned_Data]" displayFolder="" count="0" memberValueDatatype="20" unbalanced="0"/>
    <cacheHierarchy uniqueName="[Cleaned_Data].[SortEducation]" caption="SortEducation" attribute="1" defaultMemberUniqueName="[Cleaned_Data].[SortEducation].[All]" allUniqueName="[Cleaned_Data].[SortEducation].[All]" dimensionUniqueName="[Cleaned_Data]" displayFolder="" count="0" memberValueDatatype="20" unbalanced="0"/>
    <cacheHierarchy uniqueName="[Measures].[__XL_Count Cleaned_Data]" caption="__XL_Count Cleaned_Data" measure="1" displayFolder="" measureGroup="Cleaned_Data" count="0" hidden="1"/>
    <cacheHierarchy uniqueName="[Measures].[__No measures defined]" caption="__No measures defined" measure="1" displayFolder="" count="0" hidden="1"/>
    <cacheHierarchy uniqueName="[Measures].[Count of fNAME]" caption="Count of fNAME" measure="1" displayFolder="" measureGroup="Cleaned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rtEducation]" caption="Sum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SortEducation]" caption="Min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tudyHOURS]" caption="Sum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tudyHOURS]" caption="Average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ython]" caption="Sum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ython]" caption="Average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leaned_Data" uniqueName="[Cleaned_Data]" caption="Cleaned_Data"/>
    <dimension measure="1" name="Measures" uniqueName="[Measures]" caption="Measures"/>
  </dimensions>
  <measureGroups count="1">
    <measureGroup name="Cleaned_Data" caption="Cleaned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" refreshedDate="45920.607399421293" backgroundQuery="1" createdVersion="8" refreshedVersion="8" minRefreshableVersion="3" recordCount="0" supportSubquery="1" supportAdvancedDrill="1" xr:uid="{27E43E2A-75D4-4196-B507-1E95665F7BB6}">
  <cacheSource type="external" connectionId="3"/>
  <cacheFields count="1">
    <cacheField name="[Measures].[Average of Python]" caption="Average of Python" numFmtId="0" hierarchy="20" level="32767"/>
  </cacheFields>
  <cacheHierarchies count="21">
    <cacheHierarchy uniqueName="[Cleaned_Data].[fNAME]" caption="fNAME" attribute="1" defaultMemberUniqueName="[Cleaned_Data].[fNAME].[All]" allUniqueName="[Cleaned_Data].[fNAME].[All]" dimensionUniqueName="[Cleaned_Data]" displayFolder="" count="0" memberValueDatatype="130" unbalanced="0"/>
    <cacheHierarchy uniqueName="[Cleaned_Data].[lNAME]" caption="lNAME" attribute="1" defaultMemberUniqueName="[Cleaned_Data].[lNAME].[All]" allUniqueName="[Cleaned_Data].[lNAME].[All]" dimensionUniqueName="[Cleaned_Data]" displayFolder="" count="0" memberValueDatatype="130" unbalanced="0"/>
    <cacheHierarchy uniqueName="[Cleaned_Data].[Age]" caption="Age" attribute="1" defaultMemberUniqueName="[Cleaned_Data].[Age].[All]" allUniqueName="[Cleaned_Data].[Age].[All]" dimensionUniqueName="[Cleaned_Data]" displayFolder="" count="0" memberValueDatatype="20" unbalanced="0"/>
    <cacheHierarchy uniqueName="[Cleaned_Data].[gender]" caption="gender" attribute="1" defaultMemberUniqueName="[Cleaned_Data].[gender].[All]" allUniqueName="[Cleaned_Data].[gender].[All]" dimensionUniqueName="[Cleaned_Data]" displayFolder="" count="0" memberValueDatatype="130" unbalanced="0"/>
    <cacheHierarchy uniqueName="[Cleaned_Data].[country]" caption="country" attribute="1" defaultMemberUniqueName="[Cleaned_Data].[country].[All]" allUniqueName="[Cleaned_Data].[country].[All]" dimensionUniqueName="[Cleaned_Data]" displayFolder="" count="0" memberValueDatatype="130" unbalanced="0"/>
    <cacheHierarchy uniqueName="[Cleaned_Data].[residence]" caption="residence" attribute="1" defaultMemberUniqueName="[Cleaned_Data].[residence].[All]" allUniqueName="[Cleaned_Data].[residence].[All]" dimensionUniqueName="[Cleaned_Data]" displayFolder="" count="0" memberValueDatatype="130" unbalanced="0"/>
    <cacheHierarchy uniqueName="[Cleaned_Data].[entryEXAM]" caption="entryEXAM" attribute="1" defaultMemberUniqueName="[Cleaned_Data].[entryEXAM].[All]" allUniqueName="[Cleaned_Data].[entryEXAM].[All]" dimensionUniqueName="[Cleaned_Data]" displayFolder="" count="0" memberValueDatatype="20" unbalanced="0"/>
    <cacheHierarchy uniqueName="[Cleaned_Data].[prevEducation]" caption="prevEducation" attribute="1" defaultMemberUniqueName="[Cleaned_Data].[prevEducation].[All]" allUniqueName="[Cleaned_Data].[prevEducation].[All]" dimensionUniqueName="[Cleaned_Data]" displayFolder="" count="0" memberValueDatatype="130" unbalanced="0"/>
    <cacheHierarchy uniqueName="[Cleaned_Data].[studyHOURS]" caption="studyHOURS" attribute="1" defaultMemberUniqueName="[Cleaned_Data].[studyHOURS].[All]" allUniqueName="[Cleaned_Data].[studyHOURS].[All]" dimensionUniqueName="[Cleaned_Data]" displayFolder="" count="0" memberValueDatatype="20" unbalanced="0"/>
    <cacheHierarchy uniqueName="[Cleaned_Data].[Python]" caption="Python" attribute="1" defaultMemberUniqueName="[Cleaned_Data].[Python].[All]" allUniqueName="[Cleaned_Data].[Python].[All]" dimensionUniqueName="[Cleaned_Data]" displayFolder="" count="0" memberValueDatatype="20" unbalanced="0"/>
    <cacheHierarchy uniqueName="[Cleaned_Data].[DB]" caption="DB" attribute="1" defaultMemberUniqueName="[Cleaned_Data].[DB].[All]" allUniqueName="[Cleaned_Data].[DB].[All]" dimensionUniqueName="[Cleaned_Data]" displayFolder="" count="0" memberValueDatatype="20" unbalanced="0"/>
    <cacheHierarchy uniqueName="[Cleaned_Data].[SortEducation]" caption="SortEducation" attribute="1" defaultMemberUniqueName="[Cleaned_Data].[SortEducation].[All]" allUniqueName="[Cleaned_Data].[SortEducation].[All]" dimensionUniqueName="[Cleaned_Data]" displayFolder="" count="0" memberValueDatatype="20" unbalanced="0"/>
    <cacheHierarchy uniqueName="[Measures].[__XL_Count Cleaned_Data]" caption="__XL_Count Cleaned_Data" measure="1" displayFolder="" measureGroup="Cleaned_Data" count="0" hidden="1"/>
    <cacheHierarchy uniqueName="[Measures].[__No measures defined]" caption="__No measures defined" measure="1" displayFolder="" count="0" hidden="1"/>
    <cacheHierarchy uniqueName="[Measures].[Count of fNAME]" caption="Count of fNAME" measure="1" displayFolder="" measureGroup="Cleaned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rtEducation]" caption="Sum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SortEducation]" caption="Min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tudyHOURS]" caption="Sum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tudyHOURS]" caption="Average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ython]" caption="Sum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ython]" caption="Average of Python" measure="1" displayFolder="" measureGroup="Cleaned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leaned_Data" uniqueName="[Cleaned_Data]" caption="Cleaned_Data"/>
    <dimension measure="1" name="Measures" uniqueName="[Measures]" caption="Measures"/>
  </dimensions>
  <measureGroups count="1">
    <measureGroup name="Cleaned_Data" caption="Cleaned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" refreshedDate="45920.607031018517" backgroundQuery="1" createdVersion="8" refreshedVersion="8" minRefreshableVersion="3" recordCount="0" supportSubquery="1" supportAdvancedDrill="1" xr:uid="{028B6309-615D-4D2C-862C-D01C830661C7}">
  <cacheSource type="external" connectionId="3"/>
  <cacheFields count="1">
    <cacheField name="[Measures].[Average of studyHOURS]" caption="Average of studyHOURS" numFmtId="0" hierarchy="18" level="32767"/>
  </cacheFields>
  <cacheHierarchies count="21">
    <cacheHierarchy uniqueName="[Cleaned_Data].[fNAME]" caption="fNAME" attribute="1" defaultMemberUniqueName="[Cleaned_Data].[fNAME].[All]" allUniqueName="[Cleaned_Data].[fNAME].[All]" dimensionUniqueName="[Cleaned_Data]" displayFolder="" count="0" memberValueDatatype="130" unbalanced="0"/>
    <cacheHierarchy uniqueName="[Cleaned_Data].[lNAME]" caption="lNAME" attribute="1" defaultMemberUniqueName="[Cleaned_Data].[lNAME].[All]" allUniqueName="[Cleaned_Data].[lNAME].[All]" dimensionUniqueName="[Cleaned_Data]" displayFolder="" count="0" memberValueDatatype="130" unbalanced="0"/>
    <cacheHierarchy uniqueName="[Cleaned_Data].[Age]" caption="Age" attribute="1" defaultMemberUniqueName="[Cleaned_Data].[Age].[All]" allUniqueName="[Cleaned_Data].[Age].[All]" dimensionUniqueName="[Cleaned_Data]" displayFolder="" count="0" memberValueDatatype="20" unbalanced="0"/>
    <cacheHierarchy uniqueName="[Cleaned_Data].[gender]" caption="gender" attribute="1" defaultMemberUniqueName="[Cleaned_Data].[gender].[All]" allUniqueName="[Cleaned_Data].[gender].[All]" dimensionUniqueName="[Cleaned_Data]" displayFolder="" count="0" memberValueDatatype="130" unbalanced="0"/>
    <cacheHierarchy uniqueName="[Cleaned_Data].[country]" caption="country" attribute="1" defaultMemberUniqueName="[Cleaned_Data].[country].[All]" allUniqueName="[Cleaned_Data].[country].[All]" dimensionUniqueName="[Cleaned_Data]" displayFolder="" count="0" memberValueDatatype="130" unbalanced="0"/>
    <cacheHierarchy uniqueName="[Cleaned_Data].[residence]" caption="residence" attribute="1" defaultMemberUniqueName="[Cleaned_Data].[residence].[All]" allUniqueName="[Cleaned_Data].[residence].[All]" dimensionUniqueName="[Cleaned_Data]" displayFolder="" count="0" memberValueDatatype="130" unbalanced="0"/>
    <cacheHierarchy uniqueName="[Cleaned_Data].[entryEXAM]" caption="entryEXAM" attribute="1" defaultMemberUniqueName="[Cleaned_Data].[entryEXAM].[All]" allUniqueName="[Cleaned_Data].[entryEXAM].[All]" dimensionUniqueName="[Cleaned_Data]" displayFolder="" count="0" memberValueDatatype="20" unbalanced="0"/>
    <cacheHierarchy uniqueName="[Cleaned_Data].[prevEducation]" caption="prevEducation" attribute="1" defaultMemberUniqueName="[Cleaned_Data].[prevEducation].[All]" allUniqueName="[Cleaned_Data].[prevEducation].[All]" dimensionUniqueName="[Cleaned_Data]" displayFolder="" count="0" memberValueDatatype="130" unbalanced="0"/>
    <cacheHierarchy uniqueName="[Cleaned_Data].[studyHOURS]" caption="studyHOURS" attribute="1" defaultMemberUniqueName="[Cleaned_Data].[studyHOURS].[All]" allUniqueName="[Cleaned_Data].[studyHOURS].[All]" dimensionUniqueName="[Cleaned_Data]" displayFolder="" count="0" memberValueDatatype="20" unbalanced="0"/>
    <cacheHierarchy uniqueName="[Cleaned_Data].[Python]" caption="Python" attribute="1" defaultMemberUniqueName="[Cleaned_Data].[Python].[All]" allUniqueName="[Cleaned_Data].[Python].[All]" dimensionUniqueName="[Cleaned_Data]" displayFolder="" count="0" memberValueDatatype="20" unbalanced="0"/>
    <cacheHierarchy uniqueName="[Cleaned_Data].[DB]" caption="DB" attribute="1" defaultMemberUniqueName="[Cleaned_Data].[DB].[All]" allUniqueName="[Cleaned_Data].[DB].[All]" dimensionUniqueName="[Cleaned_Data]" displayFolder="" count="0" memberValueDatatype="20" unbalanced="0"/>
    <cacheHierarchy uniqueName="[Cleaned_Data].[SortEducation]" caption="SortEducation" attribute="1" defaultMemberUniqueName="[Cleaned_Data].[SortEducation].[All]" allUniqueName="[Cleaned_Data].[SortEducation].[All]" dimensionUniqueName="[Cleaned_Data]" displayFolder="" count="0" memberValueDatatype="20" unbalanced="0"/>
    <cacheHierarchy uniqueName="[Measures].[__XL_Count Cleaned_Data]" caption="__XL_Count Cleaned_Data" measure="1" displayFolder="" measureGroup="Cleaned_Data" count="0" hidden="1"/>
    <cacheHierarchy uniqueName="[Measures].[__No measures defined]" caption="__No measures defined" measure="1" displayFolder="" count="0" hidden="1"/>
    <cacheHierarchy uniqueName="[Measures].[Count of fNAME]" caption="Count of fNAME" measure="1" displayFolder="" measureGroup="Cleaned_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rtEducation]" caption="Sum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SortEducation]" caption="Min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tudyHOURS]" caption="Sum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tudyHOURS]" caption="Average of studyHOURS" measure="1" displayFolder="" measureGroup="Cleaned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ython]" caption="Sum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ython]" caption="Average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leaned_Data" uniqueName="[Cleaned_Data]" caption="Cleaned_Data"/>
    <dimension measure="1" name="Measures" uniqueName="[Measures]" caption="Measures"/>
  </dimensions>
  <measureGroups count="1">
    <measureGroup name="Cleaned_Data" caption="Cleaned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ed" refreshedDate="45920.632254050928" backgroundQuery="1" createdVersion="8" refreshedVersion="8" minRefreshableVersion="3" recordCount="0" supportSubquery="1" supportAdvancedDrill="1" xr:uid="{B20937C1-D713-4294-82F1-EDC183D6218D}">
  <cacheSource type="external" connectionId="3"/>
  <cacheFields count="1">
    <cacheField name="[Measures].[Count of fNAME]" caption="Count of fNAME" numFmtId="0" hierarchy="14" level="32767"/>
  </cacheFields>
  <cacheHierarchies count="21">
    <cacheHierarchy uniqueName="[Cleaned_Data].[fNAME]" caption="fNAME" attribute="1" defaultMemberUniqueName="[Cleaned_Data].[fNAME].[All]" allUniqueName="[Cleaned_Data].[fNAME].[All]" dimensionUniqueName="[Cleaned_Data]" displayFolder="" count="0" memberValueDatatype="130" unbalanced="0"/>
    <cacheHierarchy uniqueName="[Cleaned_Data].[lNAME]" caption="lNAME" attribute="1" defaultMemberUniqueName="[Cleaned_Data].[lNAME].[All]" allUniqueName="[Cleaned_Data].[lNAME].[All]" dimensionUniqueName="[Cleaned_Data]" displayFolder="" count="0" memberValueDatatype="130" unbalanced="0"/>
    <cacheHierarchy uniqueName="[Cleaned_Data].[Age]" caption="Age" attribute="1" defaultMemberUniqueName="[Cleaned_Data].[Age].[All]" allUniqueName="[Cleaned_Data].[Age].[All]" dimensionUniqueName="[Cleaned_Data]" displayFolder="" count="0" memberValueDatatype="20" unbalanced="0"/>
    <cacheHierarchy uniqueName="[Cleaned_Data].[gender]" caption="gender" attribute="1" defaultMemberUniqueName="[Cleaned_Data].[gender].[All]" allUniqueName="[Cleaned_Data].[gender].[All]" dimensionUniqueName="[Cleaned_Data]" displayFolder="" count="0" memberValueDatatype="130" unbalanced="0"/>
    <cacheHierarchy uniqueName="[Cleaned_Data].[country]" caption="country" attribute="1" defaultMemberUniqueName="[Cleaned_Data].[country].[All]" allUniqueName="[Cleaned_Data].[country].[All]" dimensionUniqueName="[Cleaned_Data]" displayFolder="" count="0" memberValueDatatype="130" unbalanced="0"/>
    <cacheHierarchy uniqueName="[Cleaned_Data].[residence]" caption="residence" attribute="1" defaultMemberUniqueName="[Cleaned_Data].[residence].[All]" allUniqueName="[Cleaned_Data].[residence].[All]" dimensionUniqueName="[Cleaned_Data]" displayFolder="" count="0" memberValueDatatype="130" unbalanced="0"/>
    <cacheHierarchy uniqueName="[Cleaned_Data].[entryEXAM]" caption="entryEXAM" attribute="1" defaultMemberUniqueName="[Cleaned_Data].[entryEXAM].[All]" allUniqueName="[Cleaned_Data].[entryEXAM].[All]" dimensionUniqueName="[Cleaned_Data]" displayFolder="" count="0" memberValueDatatype="20" unbalanced="0"/>
    <cacheHierarchy uniqueName="[Cleaned_Data].[prevEducation]" caption="prevEducation" attribute="1" defaultMemberUniqueName="[Cleaned_Data].[prevEducation].[All]" allUniqueName="[Cleaned_Data].[prevEducation].[All]" dimensionUniqueName="[Cleaned_Data]" displayFolder="" count="0" memberValueDatatype="130" unbalanced="0"/>
    <cacheHierarchy uniqueName="[Cleaned_Data].[studyHOURS]" caption="studyHOURS" attribute="1" defaultMemberUniqueName="[Cleaned_Data].[studyHOURS].[All]" allUniqueName="[Cleaned_Data].[studyHOURS].[All]" dimensionUniqueName="[Cleaned_Data]" displayFolder="" count="0" memberValueDatatype="20" unbalanced="0"/>
    <cacheHierarchy uniqueName="[Cleaned_Data].[Python]" caption="Python" attribute="1" defaultMemberUniqueName="[Cleaned_Data].[Python].[All]" allUniqueName="[Cleaned_Data].[Python].[All]" dimensionUniqueName="[Cleaned_Data]" displayFolder="" count="0" memberValueDatatype="20" unbalanced="0"/>
    <cacheHierarchy uniqueName="[Cleaned_Data].[DB]" caption="DB" attribute="1" defaultMemberUniqueName="[Cleaned_Data].[DB].[All]" allUniqueName="[Cleaned_Data].[DB].[All]" dimensionUniqueName="[Cleaned_Data]" displayFolder="" count="0" memberValueDatatype="20" unbalanced="0"/>
    <cacheHierarchy uniqueName="[Cleaned_Data].[SortEducation]" caption="SortEducation" attribute="1" defaultMemberUniqueName="[Cleaned_Data].[SortEducation].[All]" allUniqueName="[Cleaned_Data].[SortEducation].[All]" dimensionUniqueName="[Cleaned_Data]" displayFolder="" count="0" memberValueDatatype="20" unbalanced="0"/>
    <cacheHierarchy uniqueName="[Measures].[__XL_Count Cleaned_Data]" caption="__XL_Count Cleaned_Data" measure="1" displayFolder="" measureGroup="Cleaned_Data" count="0" hidden="1"/>
    <cacheHierarchy uniqueName="[Measures].[__No measures defined]" caption="__No measures defined" measure="1" displayFolder="" count="0" hidden="1"/>
    <cacheHierarchy uniqueName="[Measures].[Count of fNAME]" caption="Count of fNAME" measure="1" displayFolder="" measureGroup="Cleaned_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ortEducation]" caption="Sum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SortEducation]" caption="Min of SortEducati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tudyHOURS]" caption="Sum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tudyHOURS]" caption="Average of studyHOURS" measure="1" displayFolder="" measureGroup="Cleaned_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ython]" caption="Sum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ython]" caption="Average of Python" measure="1" displayFolder="" measureGroup="Cleaned_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name="Cleaned_Data" uniqueName="[Cleaned_Data]" caption="Cleaned_Data"/>
    <dimension measure="1" name="Measures" uniqueName="[Measures]" caption="Measures"/>
  </dimensions>
  <measureGroups count="1">
    <measureGroup name="Cleaned_Data" caption="Cleaned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E64B3-F464-4410-81B6-0592147FEC47}" name="PivotTable10" cacheId="389" applyNumberFormats="0" applyBorderFormats="0" applyFontFormats="0" applyPatternFormats="0" applyAlignmentFormats="0" applyWidthHeightFormats="1" dataCaption="Values" tag="ffcd228b-dd2d-47f0-b2d0-64de170b728e" updatedVersion="8" minRefreshableVersion="3" useAutoFormatting="1" itemPrintTitles="1" createdVersion="8" indent="0" outline="1" outlineData="1" multipleFieldFilters="0" chartFormat="7">
  <location ref="F25:I32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Python" fld="2" subtotal="average" baseField="0" baseItem="1" numFmtId="2"/>
  </dataFields>
  <chartFormats count="2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Python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CD43F-AD94-4B39-B428-1512A7CD775D}" name="PivotTable9" cacheId="379" applyNumberFormats="0" applyBorderFormats="0" applyFontFormats="0" applyPatternFormats="0" applyAlignmentFormats="0" applyWidthHeightFormats="1" dataCaption="Values" tag="1c03413d-dd32-4215-9726-7ef0d29f0e7c" updatedVersion="8" minRefreshableVersion="3" useAutoFormatting="1" rowGrandTotals="0" itemPrintTitles="1" createdVersion="8" indent="0" outline="1" outlineData="1" multipleFieldFilters="0" chartFormat="5">
  <location ref="D25:E27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name="Average of studyHOURS" fld="1" subtotal="average" baseField="0" baseItem="0" numFmtId="2"/>
  </dataFields>
  <chartFormats count="3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studyHOUR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C28E2-2000-432C-B5CC-9C8CD0EA9809}" name="PivotTable8" cacheId="380" applyNumberFormats="0" applyBorderFormats="0" applyFontFormats="0" applyPatternFormats="0" applyAlignmentFormats="0" applyWidthHeightFormats="1" dataCaption="Values" tag="d50615cc-ab7d-4fcd-9eb8-fa4cc7e927ef" updatedVersion="8" minRefreshableVersion="3" useAutoFormatting="1" rowGrandTotals="0" itemPrintTitles="1" createdVersion="8" indent="0" outline="1" outlineData="1" multipleFieldFilters="0" chartFormat="14">
  <location ref="A25:B30" firstHeaderRow="1" firstDataRow="1" firstDataCol="1"/>
  <pivotFields count="2">
    <pivotField axis="axisRow" allDrilled="1" subtotalTop="0" showAll="0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4"/>
    </i>
    <i>
      <x v="1"/>
    </i>
    <i>
      <x v="3"/>
    </i>
    <i>
      <x/>
    </i>
    <i>
      <x v="2"/>
    </i>
  </rowItems>
  <colItems count="1">
    <i/>
  </colItems>
  <dataFields count="1">
    <dataField name="Count of fNAME" fld="1" subtotal="count" baseField="0" baseItem="0"/>
  </dataFields>
  <chartFormats count="1"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in of SortEducation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ED620-5AFA-4E11-B9C8-6ED55E2AA5E1}" name="PivotTable7" cacheId="381" applyNumberFormats="0" applyBorderFormats="0" applyFontFormats="0" applyPatternFormats="0" applyAlignmentFormats="0" applyWidthHeightFormats="1" dataCaption="Values" tag="cbd45759-7368-451f-9477-47a438c31fd1" updatedVersion="8" minRefreshableVersion="3" useAutoFormatting="1" itemPrintTitles="1" createdVersion="8" indent="0" outline="1" outlineData="1" multipleFieldFilters="0" chartFormat="8">
  <location ref="F4:J21" firstHeaderRow="1" firstDataRow="2" firstDataCol="1"/>
  <pivotFields count="3">
    <pivotField axis="axisRow" allDrilled="1" subtotalTop="0" showAll="0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16">
    <i>
      <x v="8"/>
    </i>
    <i>
      <x v="13"/>
    </i>
    <i>
      <x v="2"/>
    </i>
    <i>
      <x v="4"/>
    </i>
    <i>
      <x/>
    </i>
    <i>
      <x v="10"/>
    </i>
    <i>
      <x v="3"/>
    </i>
    <i>
      <x v="1"/>
    </i>
    <i>
      <x v="12"/>
    </i>
    <i>
      <x v="14"/>
    </i>
    <i>
      <x v="5"/>
    </i>
    <i>
      <x v="6"/>
    </i>
    <i>
      <x v="11"/>
    </i>
    <i>
      <x v="9"/>
    </i>
    <i>
      <x v="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fNAME" fld="2" subtotal="count" baseField="0" baseItem="0"/>
  </dataFields>
  <chartFormats count="21">
    <chartFormat chart="5" format="9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5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5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5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5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5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5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5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5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5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5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5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5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5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5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256DB-6273-443F-B095-B1B1F27DB4E5}" name="PivotTable6" cacheId="382" applyNumberFormats="0" applyBorderFormats="0" applyFontFormats="0" applyPatternFormats="0" applyAlignmentFormats="0" applyWidthHeightFormats="1" dataCaption="Values" tag="3505fea4-55e9-4e0f-9471-f8bed0f888fb" updatedVersion="8" minRefreshableVersion="3" useAutoFormatting="1" subtotalHiddenItems="1" rowGrandTotals="0" itemPrintTitles="1" createdVersion="8" indent="0" outline="1" outlineData="1" multipleFieldFilters="0">
  <location ref="A4:B19" firstHeaderRow="1" firstDataRow="1" firstDataCol="1"/>
  <pivotFields count="2">
    <pivotField axis="axisRow" allDrilled="1" subtotalTop="0" showAll="0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Count of fNAME" fld="1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FA27B-D84D-4D38-995F-AF4EDC840275}" name="PivotTable5" cacheId="75" applyNumberFormats="0" applyBorderFormats="0" applyFontFormats="0" applyPatternFormats="0" applyAlignmentFormats="0" applyWidthHeightFormats="1" dataCaption="Values" tag="b12c9692-ec6a-4f6a-92c9-055919f5a405" updatedVersion="8" minRefreshableVersion="3" useAutoFormatting="1" subtotalHiddenItems="1" itemPrintTitles="1" createdVersion="8" indent="0" outline="1" outlineData="1" multipleFieldFilters="0">
  <location ref="E1:E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entryEXAM" fld="0" subtotal="average" baseField="0" baseItem="0" numFmtId="2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entryEXAM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FE6FF-C300-4E36-A12C-62008BFB919D}" name="PivotTable4" cacheId="384" applyNumberFormats="0" applyBorderFormats="0" applyFontFormats="0" applyPatternFormats="0" applyAlignmentFormats="0" applyWidthHeightFormats="1" dataCaption="Values" tag="fc93bb34-20fb-4c40-acd7-8433a8893fbc" updatedVersion="8" minRefreshableVersion="3" useAutoFormatting="1" subtotalHiddenItems="1" itemPrintTitles="1" createdVersion="8" indent="0" outline="1" outlineData="1" multipleFieldFilters="0">
  <location ref="D1:D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ython" fld="0" subtotal="average" baseField="0" baseItem="0" numFmtId="2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studyHOURS"/>
    <pivotHierarchy dragToData="1"/>
    <pivotHierarchy dragToData="1" caption="Average of Python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55F97-E81E-42A8-B593-14BE91226776}" name="PivotTable3" cacheId="385" applyNumberFormats="0" applyBorderFormats="0" applyFontFormats="0" applyPatternFormats="0" applyAlignmentFormats="0" applyWidthHeightFormats="1" dataCaption="Values" tag="6a0982a6-352d-4198-b9c5-91c8c4db67c8" updatedVersion="8" minRefreshableVersion="3" useAutoFormatting="1" subtotalHiddenItems="1" itemPrintTitles="1" createdVersion="8" indent="0" outline="1" outlineData="1" multipleFieldFilters="0">
  <location ref="C1:C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studyHOURS" fld="0" subtotal="average" baseField="0" baseItem="0" numFmtId="2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studyHOURS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6CB1DE-5C97-4F07-B2CF-CCA7A2FFE4C9}" name="PivotTable2" cacheId="72" applyNumberFormats="0" applyBorderFormats="0" applyFontFormats="0" applyPatternFormats="0" applyAlignmentFormats="0" applyWidthHeightFormats="1" dataCaption="Values" tag="d80c606d-fb71-4fe6-9517-c4b9491cb583" updatedVersion="8" minRefreshableVersion="3" useAutoFormatting="1" subtotalHiddenItems="1" itemPrintTitles="1" createdVersion="8" indent="0" outline="1" outlineData="1" multipleFieldFilters="0">
  <location ref="B1:B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Age" fld="0" subtotal="average" baseField="0" baseItem="0" numFmtId="2"/>
  </dataField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Ag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26C6A-1170-42A1-85C3-9071E3F7FB52}" name="PivotTable1" cacheId="387" applyNumberFormats="0" applyBorderFormats="0" applyFontFormats="0" applyPatternFormats="0" applyAlignmentFormats="0" applyWidthHeightFormats="1" dataCaption="Values" tag="174fd4e5-3114-4be4-a03a-22c00efbd23f" updatedVersion="8" minRefreshableVersion="3" useAutoFormatting="1" subtotalHiddenItems="1" itemPrintTitles="1" createdVersion="8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fNAME" fld="0" subtotal="count" baseField="0" baseItem="0"/>
  </dataField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eaned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DE6B4F-B775-4CED-A756-7C4CDB2401D5}" autoFormatId="16" applyNumberFormats="0" applyBorderFormats="0" applyFontFormats="0" applyPatternFormats="0" applyAlignmentFormats="0" applyWidthHeightFormats="0">
  <queryTableRefresh nextId="13">
    <queryTableFields count="12">
      <queryTableField id="1" name="fNAME" tableColumnId="1"/>
      <queryTableField id="2" name="lNAME" tableColumnId="2"/>
      <queryTableField id="3" name="Age" tableColumnId="3"/>
      <queryTableField id="4" name="gender" tableColumnId="4"/>
      <queryTableField id="5" name="country" tableColumnId="5"/>
      <queryTableField id="6" name="residence" tableColumnId="6"/>
      <queryTableField id="7" name="entryEXAM" tableColumnId="7"/>
      <queryTableField id="8" name="prevEducation" tableColumnId="8"/>
      <queryTableField id="9" name="studyHOURS" tableColumnId="9"/>
      <queryTableField id="10" name="Python" tableColumnId="10"/>
      <queryTableField id="11" name="DB" tableColumnId="11"/>
      <queryTableField id="12" name="SortEducation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21004F-B9CA-4D49-A4B1-64F4668708FC}" name="Table2" displayName="Table2" ref="C4:D19" totalsRowShown="0">
  <autoFilter ref="C4:D19" xr:uid="{4521004F-B9CA-4D49-A4B1-64F4668708FC}"/>
  <tableColumns count="2">
    <tableColumn id="1" xr3:uid="{2FB2DE24-ED38-43C2-A588-18FDED395206}" name="Column1" dataDxfId="7">
      <calculatedColumnFormula>A5</calculatedColumnFormula>
    </tableColumn>
    <tableColumn id="2" xr3:uid="{EF62DC79-5985-4766-8934-B5A92B2581F7}" name="Column2" dataDxfId="6">
      <calculatedColumnFormula>B5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7D6807-34CE-47D8-A4AD-333B2252F7F6}" name="Cleaned_Data" displayName="Cleaned_Data" ref="A1:L78" tableType="queryTable" totalsRowShown="0">
  <autoFilter ref="A1:L78" xr:uid="{8F7D6807-34CE-47D8-A4AD-333B2252F7F6}"/>
  <sortState xmlns:xlrd2="http://schemas.microsoft.com/office/spreadsheetml/2017/richdata2" ref="A2:L78">
    <sortCondition ref="L2:L78"/>
  </sortState>
  <tableColumns count="12">
    <tableColumn id="1" xr3:uid="{ED326374-DF5F-4D40-8B04-3E6C1F7E0F4B}" uniqueName="1" name="fNAME" queryTableFieldId="1" dataDxfId="5"/>
    <tableColumn id="2" xr3:uid="{DBB3D171-CA78-4610-AB17-A6D49E83BCD4}" uniqueName="2" name="lNAME" queryTableFieldId="2" dataDxfId="4"/>
    <tableColumn id="3" xr3:uid="{63F097A6-480D-4516-A27F-A043E25DF21A}" uniqueName="3" name="Age" queryTableFieldId="3"/>
    <tableColumn id="4" xr3:uid="{7733085B-FD4D-488C-80C9-7C696ED93DF1}" uniqueName="4" name="gender" queryTableFieldId="4" dataDxfId="3"/>
    <tableColumn id="5" xr3:uid="{AEC8F77A-430B-4C95-AE86-C6FF8F6AF0B2}" uniqueName="5" name="country" queryTableFieldId="5" dataDxfId="2"/>
    <tableColumn id="6" xr3:uid="{B3591B37-3371-42DF-8972-92AD196B6A59}" uniqueName="6" name="residence" queryTableFieldId="6" dataDxfId="1"/>
    <tableColumn id="7" xr3:uid="{14DE13D0-9E47-44A1-BB03-2EBE3A74CEA4}" uniqueName="7" name="entryEXAM" queryTableFieldId="7"/>
    <tableColumn id="8" xr3:uid="{B8DBF394-9625-4FFD-BE28-42B3D91C9C64}" uniqueName="8" name="prevEducation" queryTableFieldId="8" dataDxfId="0"/>
    <tableColumn id="9" xr3:uid="{C3E92D71-9D0A-4A61-968C-3CE397EB345C}" uniqueName="9" name="studyHOURS" queryTableFieldId="9"/>
    <tableColumn id="10" xr3:uid="{F1028FCF-2321-4300-9F9C-B0D970538598}" uniqueName="10" name="Python" queryTableFieldId="10"/>
    <tableColumn id="11" xr3:uid="{46FC5188-EA5E-4C48-ACD1-D5D57D0618C7}" uniqueName="11" name="DB" queryTableFieldId="11"/>
    <tableColumn id="12" xr3:uid="{E2496A0E-01A7-4A85-B93C-4313FA87A2A5}" uniqueName="12" name="SortEducatio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9216-C679-4C49-B044-85F9AFA73F11}">
  <dimension ref="A1"/>
  <sheetViews>
    <sheetView tabSelected="1" workbookViewId="0">
      <selection activeCell="V8" sqref="V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workbookViewId="0">
      <selection activeCell="R6" sqref="R6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9.85546875" bestFit="1" customWidth="1"/>
    <col min="4" max="4" width="13.140625" bestFit="1" customWidth="1"/>
    <col min="5" max="5" width="22.5703125" bestFit="1" customWidth="1"/>
    <col min="6" max="6" width="17.5703125" bestFit="1" customWidth="1"/>
    <col min="7" max="7" width="16.28515625" bestFit="1" customWidth="1"/>
    <col min="8" max="8" width="5.5703125" bestFit="1" customWidth="1"/>
    <col min="9" max="10" width="11.28515625" bestFit="1" customWidth="1"/>
  </cols>
  <sheetData>
    <row r="1" spans="1:10" x14ac:dyDescent="0.25">
      <c r="A1" t="s">
        <v>175</v>
      </c>
      <c r="B1" t="s">
        <v>176</v>
      </c>
      <c r="C1" t="s">
        <v>177</v>
      </c>
      <c r="D1" t="s">
        <v>178</v>
      </c>
      <c r="E1" t="s">
        <v>179</v>
      </c>
    </row>
    <row r="2" spans="1:10" x14ac:dyDescent="0.25">
      <c r="A2" s="1">
        <v>77</v>
      </c>
      <c r="B2" s="4">
        <v>35.20779220779221</v>
      </c>
      <c r="C2" s="4">
        <v>149.71428571428572</v>
      </c>
      <c r="D2" s="4">
        <v>73.883116883116884</v>
      </c>
      <c r="E2" s="4">
        <v>76.753246753246756</v>
      </c>
    </row>
    <row r="4" spans="1:10" x14ac:dyDescent="0.25">
      <c r="A4" s="2" t="s">
        <v>173</v>
      </c>
      <c r="B4" t="s">
        <v>175</v>
      </c>
      <c r="C4" t="s">
        <v>180</v>
      </c>
      <c r="D4" t="s">
        <v>181</v>
      </c>
      <c r="F4" s="2" t="s">
        <v>175</v>
      </c>
      <c r="G4" s="2" t="s">
        <v>182</v>
      </c>
    </row>
    <row r="5" spans="1:10" x14ac:dyDescent="0.25">
      <c r="A5" s="3" t="s">
        <v>46</v>
      </c>
      <c r="B5" s="1">
        <v>2</v>
      </c>
      <c r="C5" t="str">
        <f>A5</f>
        <v>Denmark</v>
      </c>
      <c r="D5">
        <f>B5</f>
        <v>2</v>
      </c>
      <c r="F5" s="2" t="s">
        <v>173</v>
      </c>
      <c r="G5" t="s">
        <v>36</v>
      </c>
      <c r="H5" t="s">
        <v>15</v>
      </c>
      <c r="I5" t="s">
        <v>25</v>
      </c>
      <c r="J5" t="s">
        <v>174</v>
      </c>
    </row>
    <row r="6" spans="1:10" x14ac:dyDescent="0.25">
      <c r="A6" s="3" t="s">
        <v>157</v>
      </c>
      <c r="B6" s="1">
        <v>2</v>
      </c>
      <c r="C6" t="str">
        <f>A6</f>
        <v>France</v>
      </c>
      <c r="D6">
        <f t="shared" ref="D6:D19" si="0">B6</f>
        <v>2</v>
      </c>
      <c r="F6" s="3" t="s">
        <v>14</v>
      </c>
      <c r="G6" s="1">
        <v>27</v>
      </c>
      <c r="H6" s="1">
        <v>21</v>
      </c>
      <c r="I6" s="1"/>
      <c r="J6" s="1">
        <v>48</v>
      </c>
    </row>
    <row r="7" spans="1:10" x14ac:dyDescent="0.25">
      <c r="A7" s="3" t="s">
        <v>152</v>
      </c>
      <c r="B7" s="1">
        <v>3</v>
      </c>
      <c r="C7" t="str">
        <f>A7</f>
        <v>Germany</v>
      </c>
      <c r="D7">
        <f t="shared" si="0"/>
        <v>3</v>
      </c>
      <c r="F7" s="3" t="s">
        <v>24</v>
      </c>
      <c r="G7" s="1"/>
      <c r="H7" s="1">
        <v>3</v>
      </c>
      <c r="I7" s="1">
        <v>1</v>
      </c>
      <c r="J7" s="1">
        <v>4</v>
      </c>
    </row>
    <row r="8" spans="1:10" x14ac:dyDescent="0.25">
      <c r="A8" s="3" t="s">
        <v>58</v>
      </c>
      <c r="B8" s="1">
        <v>2</v>
      </c>
      <c r="C8" t="str">
        <f>A8</f>
        <v>Italy</v>
      </c>
      <c r="D8">
        <f t="shared" si="0"/>
        <v>2</v>
      </c>
      <c r="F8" s="3" t="s">
        <v>152</v>
      </c>
      <c r="G8" s="1"/>
      <c r="H8" s="1"/>
      <c r="I8" s="1">
        <v>3</v>
      </c>
      <c r="J8" s="1">
        <v>3</v>
      </c>
    </row>
    <row r="9" spans="1:10" x14ac:dyDescent="0.25">
      <c r="A9" s="3" t="s">
        <v>20</v>
      </c>
      <c r="B9" s="1">
        <v>3</v>
      </c>
      <c r="C9" t="str">
        <f>A9</f>
        <v>Kenya</v>
      </c>
      <c r="D9">
        <f t="shared" si="0"/>
        <v>3</v>
      </c>
      <c r="F9" s="3" t="s">
        <v>20</v>
      </c>
      <c r="G9" s="1"/>
      <c r="H9" s="1">
        <v>1</v>
      </c>
      <c r="I9" s="1">
        <v>2</v>
      </c>
      <c r="J9" s="1">
        <v>3</v>
      </c>
    </row>
    <row r="10" spans="1:10" x14ac:dyDescent="0.25">
      <c r="A10" s="3" t="s">
        <v>49</v>
      </c>
      <c r="B10" s="1">
        <v>2</v>
      </c>
      <c r="C10" t="str">
        <f>A10</f>
        <v>Netherlands</v>
      </c>
      <c r="D10">
        <f t="shared" si="0"/>
        <v>2</v>
      </c>
      <c r="F10" s="3" t="s">
        <v>46</v>
      </c>
      <c r="G10" s="1">
        <v>1</v>
      </c>
      <c r="H10" s="1"/>
      <c r="I10" s="1">
        <v>1</v>
      </c>
      <c r="J10" s="1">
        <v>2</v>
      </c>
    </row>
    <row r="11" spans="1:10" x14ac:dyDescent="0.25">
      <c r="A11" s="3" t="s">
        <v>130</v>
      </c>
      <c r="B11" s="1">
        <v>2</v>
      </c>
      <c r="C11" t="str">
        <f>A11</f>
        <v>Nigeria</v>
      </c>
      <c r="D11">
        <f t="shared" si="0"/>
        <v>2</v>
      </c>
      <c r="F11" s="3" t="s">
        <v>127</v>
      </c>
      <c r="G11" s="1">
        <v>1</v>
      </c>
      <c r="H11" s="1"/>
      <c r="I11" s="1">
        <v>1</v>
      </c>
      <c r="J11" s="1">
        <v>2</v>
      </c>
    </row>
    <row r="12" spans="1:10" x14ac:dyDescent="0.25">
      <c r="A12" s="3" t="s">
        <v>35</v>
      </c>
      <c r="B12" s="1">
        <v>1</v>
      </c>
      <c r="C12" t="str">
        <f>A12</f>
        <v>Norge</v>
      </c>
      <c r="D12">
        <f t="shared" si="0"/>
        <v>1</v>
      </c>
      <c r="F12" s="3" t="s">
        <v>58</v>
      </c>
      <c r="G12" s="1"/>
      <c r="H12" s="1">
        <v>2</v>
      </c>
      <c r="I12" s="1"/>
      <c r="J12" s="1">
        <v>2</v>
      </c>
    </row>
    <row r="13" spans="1:10" x14ac:dyDescent="0.25">
      <c r="A13" s="3" t="s">
        <v>14</v>
      </c>
      <c r="B13" s="1">
        <v>48</v>
      </c>
      <c r="C13" t="str">
        <f>A13</f>
        <v>Norway</v>
      </c>
      <c r="D13">
        <f t="shared" si="0"/>
        <v>48</v>
      </c>
      <c r="F13" s="3" t="s">
        <v>157</v>
      </c>
      <c r="G13" s="1"/>
      <c r="H13" s="1">
        <v>1</v>
      </c>
      <c r="I13" s="1">
        <v>1</v>
      </c>
      <c r="J13" s="1">
        <v>2</v>
      </c>
    </row>
    <row r="14" spans="1:10" x14ac:dyDescent="0.25">
      <c r="A14" s="3" t="s">
        <v>29</v>
      </c>
      <c r="B14" s="1">
        <v>1</v>
      </c>
      <c r="C14" t="str">
        <f>A14</f>
        <v>Rsa</v>
      </c>
      <c r="D14">
        <f t="shared" si="0"/>
        <v>1</v>
      </c>
      <c r="F14" s="3" t="s">
        <v>75</v>
      </c>
      <c r="G14" s="1">
        <v>1</v>
      </c>
      <c r="H14" s="1">
        <v>1</v>
      </c>
      <c r="I14" s="1"/>
      <c r="J14" s="1">
        <v>2</v>
      </c>
    </row>
    <row r="15" spans="1:10" x14ac:dyDescent="0.25">
      <c r="A15" s="3" t="s">
        <v>127</v>
      </c>
      <c r="B15" s="1">
        <v>2</v>
      </c>
      <c r="C15" t="str">
        <f>A15</f>
        <v>Somali</v>
      </c>
      <c r="D15">
        <f t="shared" si="0"/>
        <v>2</v>
      </c>
      <c r="F15" s="3" t="s">
        <v>111</v>
      </c>
      <c r="G15" s="1"/>
      <c r="H15" s="1">
        <v>1</v>
      </c>
      <c r="I15" s="1">
        <v>1</v>
      </c>
      <c r="J15" s="1">
        <v>2</v>
      </c>
    </row>
    <row r="16" spans="1:10" x14ac:dyDescent="0.25">
      <c r="A16" s="3" t="s">
        <v>32</v>
      </c>
      <c r="B16" s="1">
        <v>1</v>
      </c>
      <c r="C16" t="str">
        <f>A16</f>
        <v>South Africa</v>
      </c>
      <c r="D16">
        <f t="shared" si="0"/>
        <v>1</v>
      </c>
      <c r="F16" s="3" t="s">
        <v>49</v>
      </c>
      <c r="G16" s="1">
        <v>1</v>
      </c>
      <c r="H16" s="1">
        <v>1</v>
      </c>
      <c r="I16" s="1"/>
      <c r="J16" s="1">
        <v>2</v>
      </c>
    </row>
    <row r="17" spans="1:10" x14ac:dyDescent="0.25">
      <c r="A17" s="3" t="s">
        <v>75</v>
      </c>
      <c r="B17" s="1">
        <v>2</v>
      </c>
      <c r="C17" t="str">
        <f>A17</f>
        <v>Spain</v>
      </c>
      <c r="D17">
        <f t="shared" si="0"/>
        <v>2</v>
      </c>
      <c r="F17" s="3" t="s">
        <v>130</v>
      </c>
      <c r="G17" s="1"/>
      <c r="H17" s="1">
        <v>2</v>
      </c>
      <c r="I17" s="1"/>
      <c r="J17" s="1">
        <v>2</v>
      </c>
    </row>
    <row r="18" spans="1:10" x14ac:dyDescent="0.25">
      <c r="A18" s="3" t="s">
        <v>24</v>
      </c>
      <c r="B18" s="1">
        <v>4</v>
      </c>
      <c r="C18" t="str">
        <f>A18</f>
        <v>Uganda</v>
      </c>
      <c r="D18">
        <f t="shared" si="0"/>
        <v>4</v>
      </c>
      <c r="F18" s="3" t="s">
        <v>32</v>
      </c>
      <c r="G18" s="1"/>
      <c r="H18" s="1"/>
      <c r="I18" s="1">
        <v>1</v>
      </c>
      <c r="J18" s="1">
        <v>1</v>
      </c>
    </row>
    <row r="19" spans="1:10" x14ac:dyDescent="0.25">
      <c r="A19" s="3" t="s">
        <v>111</v>
      </c>
      <c r="B19" s="1">
        <v>2</v>
      </c>
      <c r="C19" t="str">
        <f>A19</f>
        <v>Uk</v>
      </c>
      <c r="D19">
        <f t="shared" si="0"/>
        <v>2</v>
      </c>
      <c r="F19" s="3" t="s">
        <v>29</v>
      </c>
      <c r="G19" s="1"/>
      <c r="H19" s="1"/>
      <c r="I19" s="1">
        <v>1</v>
      </c>
      <c r="J19" s="1">
        <v>1</v>
      </c>
    </row>
    <row r="20" spans="1:10" x14ac:dyDescent="0.25">
      <c r="F20" s="3" t="s">
        <v>35</v>
      </c>
      <c r="G20" s="1">
        <v>1</v>
      </c>
      <c r="H20" s="1"/>
      <c r="I20" s="1"/>
      <c r="J20" s="1">
        <v>1</v>
      </c>
    </row>
    <row r="21" spans="1:10" x14ac:dyDescent="0.25">
      <c r="F21" s="3" t="s">
        <v>174</v>
      </c>
      <c r="G21" s="1">
        <v>32</v>
      </c>
      <c r="H21" s="1">
        <v>33</v>
      </c>
      <c r="I21" s="1">
        <v>12</v>
      </c>
      <c r="J21" s="1">
        <v>77</v>
      </c>
    </row>
    <row r="25" spans="1:10" x14ac:dyDescent="0.25">
      <c r="A25" s="2" t="s">
        <v>173</v>
      </c>
      <c r="B25" t="s">
        <v>175</v>
      </c>
      <c r="D25" s="2" t="s">
        <v>173</v>
      </c>
      <c r="E25" t="s">
        <v>177</v>
      </c>
      <c r="F25" s="2" t="s">
        <v>178</v>
      </c>
      <c r="G25" s="2" t="s">
        <v>182</v>
      </c>
    </row>
    <row r="26" spans="1:10" x14ac:dyDescent="0.25">
      <c r="A26" s="3" t="s">
        <v>93</v>
      </c>
      <c r="B26" s="1">
        <v>5</v>
      </c>
      <c r="D26" s="3" t="s">
        <v>13</v>
      </c>
      <c r="E26" s="4">
        <v>148.97674418604652</v>
      </c>
      <c r="F26" s="2" t="s">
        <v>173</v>
      </c>
      <c r="G26" t="s">
        <v>13</v>
      </c>
      <c r="H26" t="s">
        <v>19</v>
      </c>
      <c r="I26" t="s">
        <v>174</v>
      </c>
    </row>
    <row r="27" spans="1:10" x14ac:dyDescent="0.25">
      <c r="A27" s="3" t="s">
        <v>21</v>
      </c>
      <c r="B27" s="1">
        <v>12</v>
      </c>
      <c r="D27" s="3" t="s">
        <v>19</v>
      </c>
      <c r="E27" s="4">
        <v>150.64705882352942</v>
      </c>
      <c r="F27" s="3" t="s">
        <v>26</v>
      </c>
      <c r="G27" s="4">
        <v>67</v>
      </c>
      <c r="H27" s="4">
        <v>46.6</v>
      </c>
      <c r="I27" s="4">
        <v>61.631578947368418</v>
      </c>
    </row>
    <row r="28" spans="1:10" x14ac:dyDescent="0.25">
      <c r="A28" s="3" t="s">
        <v>16</v>
      </c>
      <c r="B28" s="1">
        <v>16</v>
      </c>
      <c r="F28" s="3" t="s">
        <v>21</v>
      </c>
      <c r="G28" s="4">
        <v>71.25</v>
      </c>
      <c r="H28" s="4">
        <v>69.5</v>
      </c>
      <c r="I28" s="4">
        <v>70.083333333333329</v>
      </c>
    </row>
    <row r="29" spans="1:10" x14ac:dyDescent="0.25">
      <c r="A29" s="3" t="s">
        <v>26</v>
      </c>
      <c r="B29" s="1">
        <v>19</v>
      </c>
      <c r="F29" s="3" t="s">
        <v>39</v>
      </c>
      <c r="G29" s="4">
        <v>78.5</v>
      </c>
      <c r="H29" s="4">
        <v>81.384615384615387</v>
      </c>
      <c r="I29" s="4">
        <v>80</v>
      </c>
    </row>
    <row r="30" spans="1:10" x14ac:dyDescent="0.25">
      <c r="A30" s="3" t="s">
        <v>39</v>
      </c>
      <c r="B30" s="1">
        <v>25</v>
      </c>
      <c r="F30" s="3" t="s">
        <v>16</v>
      </c>
      <c r="G30" s="4">
        <v>82.36363636363636</v>
      </c>
      <c r="H30" s="4">
        <v>78.599999999999994</v>
      </c>
      <c r="I30" s="4">
        <v>81.1875</v>
      </c>
    </row>
    <row r="31" spans="1:10" x14ac:dyDescent="0.25">
      <c r="F31" s="3" t="s">
        <v>93</v>
      </c>
      <c r="G31" s="4">
        <v>60.5</v>
      </c>
      <c r="H31" s="4">
        <v>85.666666666666671</v>
      </c>
      <c r="I31" s="4">
        <v>75.599999999999994</v>
      </c>
    </row>
    <row r="32" spans="1:10" x14ac:dyDescent="0.25">
      <c r="F32" s="3" t="s">
        <v>174</v>
      </c>
      <c r="G32" s="4">
        <v>74.232558139534888</v>
      </c>
      <c r="H32" s="4">
        <v>73.441176470588232</v>
      </c>
      <c r="I32" s="4">
        <v>73.883116883116884</v>
      </c>
    </row>
  </sheetData>
  <pageMargins left="0.7" right="0.7" top="0.75" bottom="0.75" header="0.3" footer="0.3"/>
  <drawing r:id="rId11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2268-C533-48A6-9A2D-F5FCDA754C04}">
  <dimension ref="A1:L78"/>
  <sheetViews>
    <sheetView workbookViewId="0">
      <selection activeCell="Q19" sqref="Q19"/>
    </sheetView>
  </sheetViews>
  <sheetFormatPr defaultRowHeight="15" x14ac:dyDescent="0.25"/>
  <cols>
    <col min="1" max="1" width="11.7109375" bestFit="1" customWidth="1"/>
    <col min="2" max="2" width="12.5703125" bestFit="1" customWidth="1"/>
    <col min="3" max="3" width="6.7109375" bestFit="1" customWidth="1"/>
    <col min="4" max="4" width="9.5703125" bestFit="1" customWidth="1"/>
    <col min="5" max="6" width="12" bestFit="1" customWidth="1"/>
    <col min="7" max="7" width="13.28515625" bestFit="1" customWidth="1"/>
    <col min="8" max="8" width="16.140625" bestFit="1" customWidth="1"/>
    <col min="9" max="9" width="14.42578125" bestFit="1" customWidth="1"/>
    <col min="10" max="10" width="9.5703125" bestFit="1" customWidth="1"/>
    <col min="11" max="11" width="5.7109375" bestFit="1" customWidth="1"/>
    <col min="12" max="12" width="1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183</v>
      </c>
    </row>
    <row r="2" spans="1:12" x14ac:dyDescent="0.25">
      <c r="A2" s="1" t="s">
        <v>22</v>
      </c>
      <c r="B2" s="1" t="s">
        <v>23</v>
      </c>
      <c r="C2">
        <v>25</v>
      </c>
      <c r="D2" s="1" t="s">
        <v>19</v>
      </c>
      <c r="E2" s="1" t="s">
        <v>24</v>
      </c>
      <c r="F2" s="1" t="s">
        <v>25</v>
      </c>
      <c r="G2">
        <v>55</v>
      </c>
      <c r="H2" s="1" t="s">
        <v>26</v>
      </c>
      <c r="I2">
        <v>130</v>
      </c>
      <c r="J2">
        <v>74</v>
      </c>
      <c r="K2">
        <v>50</v>
      </c>
      <c r="L2">
        <v>1</v>
      </c>
    </row>
    <row r="3" spans="1:12" x14ac:dyDescent="0.25">
      <c r="A3" s="1" t="s">
        <v>27</v>
      </c>
      <c r="B3" s="1" t="s">
        <v>28</v>
      </c>
      <c r="C3">
        <v>22</v>
      </c>
      <c r="D3" s="1" t="s">
        <v>13</v>
      </c>
      <c r="E3" s="1" t="s">
        <v>29</v>
      </c>
      <c r="F3" s="1" t="s">
        <v>25</v>
      </c>
      <c r="G3">
        <v>40</v>
      </c>
      <c r="H3" s="1" t="s">
        <v>26</v>
      </c>
      <c r="I3">
        <v>120</v>
      </c>
      <c r="J3">
        <v>0</v>
      </c>
      <c r="K3">
        <v>44</v>
      </c>
      <c r="L3">
        <v>1</v>
      </c>
    </row>
    <row r="4" spans="1:12" x14ac:dyDescent="0.25">
      <c r="A4" s="1" t="s">
        <v>30</v>
      </c>
      <c r="B4" s="1" t="s">
        <v>31</v>
      </c>
      <c r="C4">
        <v>23</v>
      </c>
      <c r="D4" s="1" t="s">
        <v>13</v>
      </c>
      <c r="E4" s="1" t="s">
        <v>32</v>
      </c>
      <c r="F4" s="1" t="s">
        <v>25</v>
      </c>
      <c r="G4">
        <v>65</v>
      </c>
      <c r="H4" s="1" t="s">
        <v>26</v>
      </c>
      <c r="I4">
        <v>122</v>
      </c>
      <c r="J4">
        <v>91</v>
      </c>
      <c r="K4">
        <v>80</v>
      </c>
      <c r="L4">
        <v>1</v>
      </c>
    </row>
    <row r="5" spans="1:12" x14ac:dyDescent="0.25">
      <c r="A5" s="1" t="s">
        <v>33</v>
      </c>
      <c r="B5" s="1" t="s">
        <v>34</v>
      </c>
      <c r="C5">
        <v>25</v>
      </c>
      <c r="D5" s="1" t="s">
        <v>13</v>
      </c>
      <c r="E5" s="1" t="s">
        <v>35</v>
      </c>
      <c r="F5" s="1" t="s">
        <v>36</v>
      </c>
      <c r="G5">
        <v>66</v>
      </c>
      <c r="H5" s="1" t="s">
        <v>26</v>
      </c>
      <c r="I5">
        <v>130</v>
      </c>
      <c r="J5">
        <v>88</v>
      </c>
      <c r="K5">
        <v>59</v>
      </c>
      <c r="L5">
        <v>1</v>
      </c>
    </row>
    <row r="6" spans="1:12" x14ac:dyDescent="0.25">
      <c r="A6" s="1" t="s">
        <v>68</v>
      </c>
      <c r="B6" s="1" t="s">
        <v>69</v>
      </c>
      <c r="C6">
        <v>22</v>
      </c>
      <c r="D6" s="1" t="s">
        <v>19</v>
      </c>
      <c r="E6" s="1" t="s">
        <v>14</v>
      </c>
      <c r="F6" s="1" t="s">
        <v>36</v>
      </c>
      <c r="G6">
        <v>45</v>
      </c>
      <c r="H6" s="1" t="s">
        <v>26</v>
      </c>
      <c r="I6">
        <v>116</v>
      </c>
      <c r="J6">
        <v>33</v>
      </c>
      <c r="K6">
        <v>30</v>
      </c>
      <c r="L6">
        <v>1</v>
      </c>
    </row>
    <row r="7" spans="1:12" x14ac:dyDescent="0.25">
      <c r="A7" s="1" t="s">
        <v>61</v>
      </c>
      <c r="B7" s="1" t="s">
        <v>70</v>
      </c>
      <c r="C7">
        <v>24</v>
      </c>
      <c r="D7" s="1" t="s">
        <v>13</v>
      </c>
      <c r="E7" s="1" t="s">
        <v>14</v>
      </c>
      <c r="F7" s="1" t="s">
        <v>36</v>
      </c>
      <c r="G7">
        <v>50</v>
      </c>
      <c r="H7" s="1" t="s">
        <v>26</v>
      </c>
      <c r="I7">
        <v>114</v>
      </c>
      <c r="J7">
        <v>30</v>
      </c>
      <c r="K7">
        <v>50</v>
      </c>
      <c r="L7">
        <v>1</v>
      </c>
    </row>
    <row r="8" spans="1:12" x14ac:dyDescent="0.25">
      <c r="A8" s="1" t="s">
        <v>71</v>
      </c>
      <c r="B8" s="1" t="s">
        <v>72</v>
      </c>
      <c r="C8">
        <v>26</v>
      </c>
      <c r="D8" s="1" t="s">
        <v>13</v>
      </c>
      <c r="E8" s="1" t="s">
        <v>14</v>
      </c>
      <c r="F8" s="1" t="s">
        <v>36</v>
      </c>
      <c r="G8">
        <v>55</v>
      </c>
      <c r="H8" s="1" t="s">
        <v>26</v>
      </c>
      <c r="I8">
        <v>140</v>
      </c>
      <c r="J8">
        <v>61</v>
      </c>
      <c r="K8">
        <v>56</v>
      </c>
      <c r="L8">
        <v>1</v>
      </c>
    </row>
    <row r="9" spans="1:12" x14ac:dyDescent="0.25">
      <c r="A9" s="1" t="s">
        <v>94</v>
      </c>
      <c r="B9" s="1" t="s">
        <v>95</v>
      </c>
      <c r="C9">
        <v>23</v>
      </c>
      <c r="D9" s="1" t="s">
        <v>19</v>
      </c>
      <c r="E9" s="1" t="s">
        <v>14</v>
      </c>
      <c r="F9" s="1" t="s">
        <v>36</v>
      </c>
      <c r="G9">
        <v>68</v>
      </c>
      <c r="H9" s="1" t="s">
        <v>26</v>
      </c>
      <c r="I9">
        <v>152</v>
      </c>
      <c r="J9">
        <v>0</v>
      </c>
      <c r="K9">
        <v>70</v>
      </c>
      <c r="L9">
        <v>1</v>
      </c>
    </row>
    <row r="10" spans="1:12" x14ac:dyDescent="0.25">
      <c r="A10" s="1" t="s">
        <v>96</v>
      </c>
      <c r="B10" s="1" t="s">
        <v>97</v>
      </c>
      <c r="C10">
        <v>25</v>
      </c>
      <c r="D10" s="1" t="s">
        <v>13</v>
      </c>
      <c r="E10" s="1" t="s">
        <v>14</v>
      </c>
      <c r="F10" s="1" t="s">
        <v>36</v>
      </c>
      <c r="G10">
        <v>98</v>
      </c>
      <c r="H10" s="1" t="s">
        <v>26</v>
      </c>
      <c r="I10">
        <v>160</v>
      </c>
      <c r="J10">
        <v>90</v>
      </c>
      <c r="K10">
        <v>90</v>
      </c>
      <c r="L10">
        <v>1</v>
      </c>
    </row>
    <row r="11" spans="1:12" x14ac:dyDescent="0.25">
      <c r="A11" s="1" t="s">
        <v>117</v>
      </c>
      <c r="B11" s="1" t="s">
        <v>62</v>
      </c>
      <c r="C11">
        <v>22</v>
      </c>
      <c r="D11" s="1" t="s">
        <v>13</v>
      </c>
      <c r="E11" s="1" t="s">
        <v>14</v>
      </c>
      <c r="F11" s="1" t="s">
        <v>36</v>
      </c>
      <c r="G11">
        <v>78</v>
      </c>
      <c r="H11" s="1" t="s">
        <v>26</v>
      </c>
      <c r="I11">
        <v>148</v>
      </c>
      <c r="J11">
        <v>78</v>
      </c>
      <c r="K11">
        <v>74</v>
      </c>
      <c r="L11">
        <v>1</v>
      </c>
    </row>
    <row r="12" spans="1:12" x14ac:dyDescent="0.25">
      <c r="A12" s="1" t="s">
        <v>118</v>
      </c>
      <c r="B12" s="1" t="s">
        <v>60</v>
      </c>
      <c r="C12">
        <v>24</v>
      </c>
      <c r="D12" s="1" t="s">
        <v>13</v>
      </c>
      <c r="E12" s="1" t="s">
        <v>14</v>
      </c>
      <c r="F12" s="1" t="s">
        <v>36</v>
      </c>
      <c r="G12">
        <v>54</v>
      </c>
      <c r="H12" s="1" t="s">
        <v>26</v>
      </c>
      <c r="I12">
        <v>136</v>
      </c>
      <c r="J12">
        <v>57</v>
      </c>
      <c r="K12">
        <v>50</v>
      </c>
      <c r="L12">
        <v>1</v>
      </c>
    </row>
    <row r="13" spans="1:12" x14ac:dyDescent="0.25">
      <c r="A13" s="1" t="s">
        <v>119</v>
      </c>
      <c r="B13" s="1" t="s">
        <v>120</v>
      </c>
      <c r="C13">
        <v>26</v>
      </c>
      <c r="D13" s="1" t="s">
        <v>13</v>
      </c>
      <c r="E13" s="1" t="s">
        <v>14</v>
      </c>
      <c r="F13" s="1" t="s">
        <v>36</v>
      </c>
      <c r="G13">
        <v>68</v>
      </c>
      <c r="H13" s="1" t="s">
        <v>26</v>
      </c>
      <c r="I13">
        <v>124</v>
      </c>
      <c r="J13">
        <v>48</v>
      </c>
      <c r="K13">
        <v>62</v>
      </c>
      <c r="L13">
        <v>1</v>
      </c>
    </row>
    <row r="14" spans="1:12" x14ac:dyDescent="0.25">
      <c r="A14" s="1" t="s">
        <v>121</v>
      </c>
      <c r="B14" s="1" t="s">
        <v>122</v>
      </c>
      <c r="C14">
        <v>28</v>
      </c>
      <c r="D14" s="1" t="s">
        <v>19</v>
      </c>
      <c r="E14" s="1" t="s">
        <v>14</v>
      </c>
      <c r="F14" s="1" t="s">
        <v>36</v>
      </c>
      <c r="G14">
        <v>69</v>
      </c>
      <c r="H14" s="1" t="s">
        <v>26</v>
      </c>
      <c r="I14">
        <v>120</v>
      </c>
      <c r="J14">
        <v>45</v>
      </c>
      <c r="K14">
        <v>70</v>
      </c>
      <c r="L14">
        <v>1</v>
      </c>
    </row>
    <row r="15" spans="1:12" x14ac:dyDescent="0.25">
      <c r="A15" s="1" t="s">
        <v>42</v>
      </c>
      <c r="B15" s="1" t="s">
        <v>115</v>
      </c>
      <c r="C15">
        <v>21</v>
      </c>
      <c r="D15" s="1" t="s">
        <v>13</v>
      </c>
      <c r="E15" s="1" t="s">
        <v>14</v>
      </c>
      <c r="F15" s="1" t="s">
        <v>36</v>
      </c>
      <c r="G15">
        <v>70</v>
      </c>
      <c r="H15" s="1" t="s">
        <v>26</v>
      </c>
      <c r="I15">
        <v>138</v>
      </c>
      <c r="J15">
        <v>69</v>
      </c>
      <c r="K15">
        <v>47</v>
      </c>
      <c r="L15">
        <v>1</v>
      </c>
    </row>
    <row r="16" spans="1:12" x14ac:dyDescent="0.25">
      <c r="A16" s="1" t="s">
        <v>136</v>
      </c>
      <c r="B16" s="1" t="s">
        <v>137</v>
      </c>
      <c r="C16">
        <v>25</v>
      </c>
      <c r="D16" s="1" t="s">
        <v>19</v>
      </c>
      <c r="E16" s="1" t="s">
        <v>14</v>
      </c>
      <c r="F16" s="1" t="s">
        <v>36</v>
      </c>
      <c r="G16">
        <v>90</v>
      </c>
      <c r="H16" s="1" t="s">
        <v>26</v>
      </c>
      <c r="I16">
        <v>156</v>
      </c>
      <c r="J16">
        <v>81</v>
      </c>
      <c r="K16">
        <v>100</v>
      </c>
      <c r="L16">
        <v>1</v>
      </c>
    </row>
    <row r="17" spans="1:12" x14ac:dyDescent="0.25">
      <c r="A17" s="1" t="s">
        <v>139</v>
      </c>
      <c r="B17" s="1" t="s">
        <v>76</v>
      </c>
      <c r="C17">
        <v>26</v>
      </c>
      <c r="D17" s="1" t="s">
        <v>13</v>
      </c>
      <c r="E17" s="1" t="s">
        <v>14</v>
      </c>
      <c r="F17" s="1" t="s">
        <v>36</v>
      </c>
      <c r="G17">
        <v>76</v>
      </c>
      <c r="H17" s="1" t="s">
        <v>26</v>
      </c>
      <c r="I17">
        <v>156</v>
      </c>
      <c r="J17">
        <v>84</v>
      </c>
      <c r="K17">
        <v>61</v>
      </c>
      <c r="L17">
        <v>1</v>
      </c>
    </row>
    <row r="18" spans="1:12" x14ac:dyDescent="0.25">
      <c r="A18" s="1" t="s">
        <v>142</v>
      </c>
      <c r="B18" s="1" t="s">
        <v>95</v>
      </c>
      <c r="C18">
        <v>22</v>
      </c>
      <c r="D18" s="1" t="s">
        <v>13</v>
      </c>
      <c r="E18" s="1" t="s">
        <v>14</v>
      </c>
      <c r="F18" s="1" t="s">
        <v>36</v>
      </c>
      <c r="G18">
        <v>73</v>
      </c>
      <c r="H18" s="1" t="s">
        <v>26</v>
      </c>
      <c r="I18">
        <v>144</v>
      </c>
      <c r="J18">
        <v>70</v>
      </c>
      <c r="K18">
        <v>55</v>
      </c>
      <c r="L18">
        <v>1</v>
      </c>
    </row>
    <row r="19" spans="1:12" x14ac:dyDescent="0.25">
      <c r="A19" s="1" t="s">
        <v>143</v>
      </c>
      <c r="B19" s="1" t="s">
        <v>144</v>
      </c>
      <c r="C19">
        <v>23</v>
      </c>
      <c r="D19" s="1" t="s">
        <v>13</v>
      </c>
      <c r="E19" s="1" t="s">
        <v>14</v>
      </c>
      <c r="F19" s="1" t="s">
        <v>36</v>
      </c>
      <c r="G19">
        <v>90</v>
      </c>
      <c r="H19" s="1" t="s">
        <v>26</v>
      </c>
      <c r="I19">
        <v>160</v>
      </c>
      <c r="J19">
        <v>87</v>
      </c>
      <c r="K19">
        <v>73</v>
      </c>
      <c r="L19">
        <v>1</v>
      </c>
    </row>
    <row r="20" spans="1:12" x14ac:dyDescent="0.25">
      <c r="A20" s="1" t="s">
        <v>145</v>
      </c>
      <c r="B20" s="1" t="s">
        <v>72</v>
      </c>
      <c r="C20">
        <v>25</v>
      </c>
      <c r="D20" s="1" t="s">
        <v>13</v>
      </c>
      <c r="E20" s="1" t="s">
        <v>14</v>
      </c>
      <c r="F20" s="1" t="s">
        <v>36</v>
      </c>
      <c r="G20">
        <v>81</v>
      </c>
      <c r="H20" s="1" t="s">
        <v>26</v>
      </c>
      <c r="I20">
        <v>158</v>
      </c>
      <c r="J20">
        <v>85</v>
      </c>
      <c r="K20">
        <v>46</v>
      </c>
      <c r="L20">
        <v>1</v>
      </c>
    </row>
    <row r="21" spans="1:12" x14ac:dyDescent="0.25">
      <c r="A21" s="1" t="s">
        <v>17</v>
      </c>
      <c r="B21" s="1" t="s">
        <v>18</v>
      </c>
      <c r="C21">
        <v>60</v>
      </c>
      <c r="D21" s="1" t="s">
        <v>19</v>
      </c>
      <c r="E21" s="1" t="s">
        <v>20</v>
      </c>
      <c r="F21" s="1" t="s">
        <v>15</v>
      </c>
      <c r="G21">
        <v>79</v>
      </c>
      <c r="H21" s="1" t="s">
        <v>21</v>
      </c>
      <c r="I21">
        <v>150</v>
      </c>
      <c r="J21">
        <v>60</v>
      </c>
      <c r="K21">
        <v>75</v>
      </c>
      <c r="L21">
        <v>2</v>
      </c>
    </row>
    <row r="22" spans="1:12" x14ac:dyDescent="0.25">
      <c r="A22" s="1" t="s">
        <v>50</v>
      </c>
      <c r="B22" s="1" t="s">
        <v>51</v>
      </c>
      <c r="C22">
        <v>36</v>
      </c>
      <c r="D22" s="1" t="s">
        <v>13</v>
      </c>
      <c r="E22" s="1" t="s">
        <v>14</v>
      </c>
      <c r="F22" s="1" t="s">
        <v>15</v>
      </c>
      <c r="G22">
        <v>70</v>
      </c>
      <c r="H22" s="1" t="s">
        <v>21</v>
      </c>
      <c r="I22">
        <v>156</v>
      </c>
      <c r="J22">
        <v>80</v>
      </c>
      <c r="K22">
        <v>55</v>
      </c>
      <c r="L22">
        <v>2</v>
      </c>
    </row>
    <row r="23" spans="1:12" x14ac:dyDescent="0.25">
      <c r="A23" s="1" t="s">
        <v>52</v>
      </c>
      <c r="B23" s="1" t="s">
        <v>53</v>
      </c>
      <c r="C23">
        <v>38</v>
      </c>
      <c r="D23" s="1" t="s">
        <v>19</v>
      </c>
      <c r="E23" s="1" t="s">
        <v>14</v>
      </c>
      <c r="F23" s="1" t="s">
        <v>15</v>
      </c>
      <c r="G23">
        <v>91</v>
      </c>
      <c r="H23" s="1" t="s">
        <v>21</v>
      </c>
      <c r="I23">
        <v>156</v>
      </c>
      <c r="J23">
        <v>85</v>
      </c>
      <c r="K23">
        <v>99</v>
      </c>
      <c r="L23">
        <v>2</v>
      </c>
    </row>
    <row r="24" spans="1:12" x14ac:dyDescent="0.25">
      <c r="A24" s="1" t="s">
        <v>54</v>
      </c>
      <c r="B24" s="1" t="s">
        <v>55</v>
      </c>
      <c r="C24">
        <v>40</v>
      </c>
      <c r="D24" s="1" t="s">
        <v>13</v>
      </c>
      <c r="E24" s="1" t="s">
        <v>14</v>
      </c>
      <c r="F24" s="1" t="s">
        <v>15</v>
      </c>
      <c r="G24">
        <v>77</v>
      </c>
      <c r="H24" s="1" t="s">
        <v>21</v>
      </c>
      <c r="I24">
        <v>144</v>
      </c>
      <c r="J24">
        <v>70</v>
      </c>
      <c r="K24">
        <v>76</v>
      </c>
      <c r="L24">
        <v>2</v>
      </c>
    </row>
    <row r="25" spans="1:12" x14ac:dyDescent="0.25">
      <c r="A25" s="1" t="s">
        <v>81</v>
      </c>
      <c r="B25" s="1" t="s">
        <v>82</v>
      </c>
      <c r="C25">
        <v>37</v>
      </c>
      <c r="D25" s="1" t="s">
        <v>13</v>
      </c>
      <c r="E25" s="1" t="s">
        <v>24</v>
      </c>
      <c r="F25" s="1" t="s">
        <v>15</v>
      </c>
      <c r="G25">
        <v>55</v>
      </c>
      <c r="H25" s="1" t="s">
        <v>21</v>
      </c>
      <c r="I25">
        <v>142</v>
      </c>
      <c r="J25">
        <v>66</v>
      </c>
      <c r="K25">
        <v>58</v>
      </c>
      <c r="L25">
        <v>2</v>
      </c>
    </row>
    <row r="26" spans="1:12" x14ac:dyDescent="0.25">
      <c r="A26" s="1" t="s">
        <v>87</v>
      </c>
      <c r="B26" s="1" t="s">
        <v>88</v>
      </c>
      <c r="C26">
        <v>44</v>
      </c>
      <c r="D26" s="1" t="s">
        <v>19</v>
      </c>
      <c r="E26" s="1" t="s">
        <v>14</v>
      </c>
      <c r="F26" s="1" t="s">
        <v>15</v>
      </c>
      <c r="G26">
        <v>78</v>
      </c>
      <c r="H26" s="1" t="s">
        <v>21</v>
      </c>
      <c r="I26">
        <v>152</v>
      </c>
      <c r="J26">
        <v>80</v>
      </c>
      <c r="K26">
        <v>79</v>
      </c>
      <c r="L26">
        <v>2</v>
      </c>
    </row>
    <row r="27" spans="1:12" x14ac:dyDescent="0.25">
      <c r="A27" s="1" t="s">
        <v>89</v>
      </c>
      <c r="B27" s="1" t="s">
        <v>90</v>
      </c>
      <c r="C27">
        <v>46</v>
      </c>
      <c r="D27" s="1" t="s">
        <v>19</v>
      </c>
      <c r="E27" s="1" t="s">
        <v>14</v>
      </c>
      <c r="F27" s="1" t="s">
        <v>15</v>
      </c>
      <c r="G27">
        <v>76</v>
      </c>
      <c r="H27" s="1" t="s">
        <v>21</v>
      </c>
      <c r="I27">
        <v>156</v>
      </c>
      <c r="J27">
        <v>85</v>
      </c>
      <c r="K27">
        <v>45</v>
      </c>
      <c r="L27">
        <v>2</v>
      </c>
    </row>
    <row r="28" spans="1:12" x14ac:dyDescent="0.25">
      <c r="A28" s="1" t="s">
        <v>100</v>
      </c>
      <c r="B28" s="1" t="s">
        <v>101</v>
      </c>
      <c r="C28">
        <v>29</v>
      </c>
      <c r="D28" s="1" t="s">
        <v>19</v>
      </c>
      <c r="E28" s="1" t="s">
        <v>14</v>
      </c>
      <c r="F28" s="1" t="s">
        <v>36</v>
      </c>
      <c r="G28">
        <v>75</v>
      </c>
      <c r="H28" s="1" t="s">
        <v>21</v>
      </c>
      <c r="I28">
        <v>156</v>
      </c>
      <c r="J28">
        <v>81</v>
      </c>
      <c r="K28">
        <v>74</v>
      </c>
      <c r="L28">
        <v>2</v>
      </c>
    </row>
    <row r="29" spans="1:12" x14ac:dyDescent="0.25">
      <c r="A29" s="1" t="s">
        <v>103</v>
      </c>
      <c r="B29" s="1" t="s">
        <v>104</v>
      </c>
      <c r="C29">
        <v>33</v>
      </c>
      <c r="D29" s="1" t="s">
        <v>13</v>
      </c>
      <c r="E29" s="1" t="s">
        <v>14</v>
      </c>
      <c r="F29" s="1" t="s">
        <v>36</v>
      </c>
      <c r="G29">
        <v>50</v>
      </c>
      <c r="H29" s="1" t="s">
        <v>21</v>
      </c>
      <c r="I29">
        <v>144</v>
      </c>
      <c r="J29">
        <v>69</v>
      </c>
      <c r="K29">
        <v>33</v>
      </c>
      <c r="L29">
        <v>2</v>
      </c>
    </row>
    <row r="30" spans="1:12" x14ac:dyDescent="0.25">
      <c r="A30" s="1" t="s">
        <v>105</v>
      </c>
      <c r="B30" s="1" t="s">
        <v>106</v>
      </c>
      <c r="C30">
        <v>35</v>
      </c>
      <c r="D30" s="1" t="s">
        <v>19</v>
      </c>
      <c r="E30" s="1" t="s">
        <v>14</v>
      </c>
      <c r="F30" s="1" t="s">
        <v>36</v>
      </c>
      <c r="G30">
        <v>68</v>
      </c>
      <c r="H30" s="1" t="s">
        <v>21</v>
      </c>
      <c r="I30">
        <v>136</v>
      </c>
      <c r="J30">
        <v>60</v>
      </c>
      <c r="K30">
        <v>78</v>
      </c>
      <c r="L30">
        <v>2</v>
      </c>
    </row>
    <row r="31" spans="1:12" x14ac:dyDescent="0.25">
      <c r="A31" s="1" t="s">
        <v>123</v>
      </c>
      <c r="B31" s="1" t="s">
        <v>124</v>
      </c>
      <c r="C31">
        <v>30</v>
      </c>
      <c r="D31" s="1" t="s">
        <v>19</v>
      </c>
      <c r="E31" s="1" t="s">
        <v>14</v>
      </c>
      <c r="F31" s="1" t="s">
        <v>36</v>
      </c>
      <c r="G31">
        <v>95</v>
      </c>
      <c r="H31" s="1" t="s">
        <v>21</v>
      </c>
      <c r="I31">
        <v>160</v>
      </c>
      <c r="J31">
        <v>90</v>
      </c>
      <c r="K31">
        <v>89</v>
      </c>
      <c r="L31">
        <v>2</v>
      </c>
    </row>
    <row r="32" spans="1:12" x14ac:dyDescent="0.25">
      <c r="A32" s="1" t="s">
        <v>128</v>
      </c>
      <c r="B32" s="1" t="s">
        <v>129</v>
      </c>
      <c r="C32">
        <v>36</v>
      </c>
      <c r="D32" s="1" t="s">
        <v>19</v>
      </c>
      <c r="E32" s="1" t="s">
        <v>130</v>
      </c>
      <c r="F32" s="1" t="s">
        <v>15</v>
      </c>
      <c r="G32">
        <v>28</v>
      </c>
      <c r="H32" s="1" t="s">
        <v>21</v>
      </c>
      <c r="I32">
        <v>120</v>
      </c>
      <c r="J32">
        <v>15</v>
      </c>
      <c r="K32">
        <v>67</v>
      </c>
      <c r="L32">
        <v>2</v>
      </c>
    </row>
    <row r="33" spans="1:12" x14ac:dyDescent="0.25">
      <c r="A33" s="1" t="s">
        <v>37</v>
      </c>
      <c r="B33" s="1" t="s">
        <v>38</v>
      </c>
      <c r="C33">
        <v>27</v>
      </c>
      <c r="D33" s="1" t="s">
        <v>19</v>
      </c>
      <c r="E33" s="1" t="s">
        <v>14</v>
      </c>
      <c r="F33" s="1" t="s">
        <v>36</v>
      </c>
      <c r="G33">
        <v>90</v>
      </c>
      <c r="H33" s="1" t="s">
        <v>39</v>
      </c>
      <c r="I33">
        <v>156</v>
      </c>
      <c r="J33">
        <v>80</v>
      </c>
      <c r="K33">
        <v>91</v>
      </c>
      <c r="L33">
        <v>3</v>
      </c>
    </row>
    <row r="34" spans="1:12" x14ac:dyDescent="0.25">
      <c r="A34" s="1" t="s">
        <v>40</v>
      </c>
      <c r="B34" s="1" t="s">
        <v>41</v>
      </c>
      <c r="C34">
        <v>29</v>
      </c>
      <c r="D34" s="1" t="s">
        <v>19</v>
      </c>
      <c r="E34" s="1" t="s">
        <v>14</v>
      </c>
      <c r="F34" s="1" t="s">
        <v>36</v>
      </c>
      <c r="G34">
        <v>89</v>
      </c>
      <c r="H34" s="1" t="s">
        <v>39</v>
      </c>
      <c r="I34">
        <v>160</v>
      </c>
      <c r="J34">
        <v>85</v>
      </c>
      <c r="K34">
        <v>60</v>
      </c>
      <c r="L34">
        <v>3</v>
      </c>
    </row>
    <row r="35" spans="1:12" x14ac:dyDescent="0.25">
      <c r="A35" s="1" t="s">
        <v>42</v>
      </c>
      <c r="B35" s="1" t="s">
        <v>43</v>
      </c>
      <c r="C35">
        <v>31</v>
      </c>
      <c r="D35" s="1" t="s">
        <v>19</v>
      </c>
      <c r="E35" s="1" t="s">
        <v>14</v>
      </c>
      <c r="F35" s="1" t="s">
        <v>36</v>
      </c>
      <c r="G35">
        <v>88</v>
      </c>
      <c r="H35" s="1" t="s">
        <v>39</v>
      </c>
      <c r="I35">
        <v>156</v>
      </c>
      <c r="J35">
        <v>80</v>
      </c>
      <c r="K35">
        <v>89</v>
      </c>
      <c r="L35">
        <v>3</v>
      </c>
    </row>
    <row r="36" spans="1:12" x14ac:dyDescent="0.25">
      <c r="A36" s="1" t="s">
        <v>44</v>
      </c>
      <c r="B36" s="1" t="s">
        <v>45</v>
      </c>
      <c r="C36">
        <v>33</v>
      </c>
      <c r="D36" s="1" t="s">
        <v>13</v>
      </c>
      <c r="E36" s="1" t="s">
        <v>46</v>
      </c>
      <c r="F36" s="1" t="s">
        <v>36</v>
      </c>
      <c r="G36">
        <v>85</v>
      </c>
      <c r="H36" s="1" t="s">
        <v>39</v>
      </c>
      <c r="I36">
        <v>160</v>
      </c>
      <c r="J36">
        <v>83</v>
      </c>
      <c r="K36">
        <v>90</v>
      </c>
      <c r="L36">
        <v>3</v>
      </c>
    </row>
    <row r="37" spans="1:12" x14ac:dyDescent="0.25">
      <c r="A37" s="1" t="s">
        <v>47</v>
      </c>
      <c r="B37" s="1" t="s">
        <v>48</v>
      </c>
      <c r="C37">
        <v>34</v>
      </c>
      <c r="D37" s="1" t="s">
        <v>13</v>
      </c>
      <c r="E37" s="1" t="s">
        <v>49</v>
      </c>
      <c r="F37" s="1" t="s">
        <v>36</v>
      </c>
      <c r="G37">
        <v>65</v>
      </c>
      <c r="H37" s="1" t="s">
        <v>39</v>
      </c>
      <c r="I37">
        <v>156</v>
      </c>
      <c r="J37">
        <v>79</v>
      </c>
      <c r="K37">
        <v>58</v>
      </c>
      <c r="L37">
        <v>3</v>
      </c>
    </row>
    <row r="38" spans="1:12" x14ac:dyDescent="0.25">
      <c r="A38" s="1" t="s">
        <v>56</v>
      </c>
      <c r="B38" s="1" t="s">
        <v>57</v>
      </c>
      <c r="C38">
        <v>42</v>
      </c>
      <c r="D38" s="1" t="s">
        <v>19</v>
      </c>
      <c r="E38" s="1" t="s">
        <v>58</v>
      </c>
      <c r="F38" s="1" t="s">
        <v>15</v>
      </c>
      <c r="G38">
        <v>80</v>
      </c>
      <c r="H38" s="1" t="s">
        <v>39</v>
      </c>
      <c r="I38">
        <v>152</v>
      </c>
      <c r="J38">
        <v>75</v>
      </c>
      <c r="K38">
        <v>77</v>
      </c>
      <c r="L38">
        <v>3</v>
      </c>
    </row>
    <row r="39" spans="1:12" x14ac:dyDescent="0.25">
      <c r="A39" s="1" t="s">
        <v>59</v>
      </c>
      <c r="B39" s="1" t="s">
        <v>60</v>
      </c>
      <c r="C39">
        <v>43</v>
      </c>
      <c r="D39" s="1" t="s">
        <v>13</v>
      </c>
      <c r="E39" s="1" t="s">
        <v>14</v>
      </c>
      <c r="F39" s="1" t="s">
        <v>15</v>
      </c>
      <c r="G39">
        <v>81</v>
      </c>
      <c r="H39" s="1" t="s">
        <v>39</v>
      </c>
      <c r="I39">
        <v>156</v>
      </c>
      <c r="J39">
        <v>80</v>
      </c>
      <c r="K39">
        <v>82</v>
      </c>
      <c r="L39">
        <v>3</v>
      </c>
    </row>
    <row r="40" spans="1:12" x14ac:dyDescent="0.25">
      <c r="A40" s="1" t="s">
        <v>61</v>
      </c>
      <c r="B40" s="1" t="s">
        <v>62</v>
      </c>
      <c r="C40">
        <v>45</v>
      </c>
      <c r="D40" s="1" t="s">
        <v>13</v>
      </c>
      <c r="E40" s="1" t="s">
        <v>14</v>
      </c>
      <c r="F40" s="1" t="s">
        <v>15</v>
      </c>
      <c r="G40">
        <v>85</v>
      </c>
      <c r="H40" s="1" t="s">
        <v>39</v>
      </c>
      <c r="I40">
        <v>156</v>
      </c>
      <c r="J40">
        <v>87</v>
      </c>
      <c r="K40">
        <v>82</v>
      </c>
      <c r="L40">
        <v>3</v>
      </c>
    </row>
    <row r="41" spans="1:12" x14ac:dyDescent="0.25">
      <c r="A41" s="1" t="s">
        <v>63</v>
      </c>
      <c r="B41" s="1" t="s">
        <v>51</v>
      </c>
      <c r="C41">
        <v>47</v>
      </c>
      <c r="D41" s="1" t="s">
        <v>13</v>
      </c>
      <c r="E41" s="1" t="s">
        <v>14</v>
      </c>
      <c r="F41" s="1" t="s">
        <v>15</v>
      </c>
      <c r="G41">
        <v>86</v>
      </c>
      <c r="H41" s="1" t="s">
        <v>39</v>
      </c>
      <c r="I41">
        <v>156</v>
      </c>
      <c r="J41">
        <v>80</v>
      </c>
      <c r="K41">
        <v>78</v>
      </c>
      <c r="L41">
        <v>3</v>
      </c>
    </row>
    <row r="42" spans="1:12" x14ac:dyDescent="0.25">
      <c r="A42" s="1" t="s">
        <v>64</v>
      </c>
      <c r="B42" s="1" t="s">
        <v>65</v>
      </c>
      <c r="C42">
        <v>48</v>
      </c>
      <c r="D42" s="1" t="s">
        <v>19</v>
      </c>
      <c r="E42" s="1" t="s">
        <v>14</v>
      </c>
      <c r="F42" s="1" t="s">
        <v>15</v>
      </c>
      <c r="G42">
        <v>75</v>
      </c>
      <c r="H42" s="1" t="s">
        <v>39</v>
      </c>
      <c r="I42">
        <v>148</v>
      </c>
      <c r="J42">
        <v>76</v>
      </c>
      <c r="K42">
        <v>73</v>
      </c>
      <c r="L42">
        <v>3</v>
      </c>
    </row>
    <row r="43" spans="1:12" x14ac:dyDescent="0.25">
      <c r="A43" s="1" t="s">
        <v>73</v>
      </c>
      <c r="B43" s="1" t="s">
        <v>74</v>
      </c>
      <c r="C43">
        <v>28</v>
      </c>
      <c r="D43" s="1" t="s">
        <v>13</v>
      </c>
      <c r="E43" s="1" t="s">
        <v>75</v>
      </c>
      <c r="F43" s="1" t="s">
        <v>36</v>
      </c>
      <c r="G43">
        <v>78</v>
      </c>
      <c r="H43" s="1" t="s">
        <v>39</v>
      </c>
      <c r="I43">
        <v>156</v>
      </c>
      <c r="J43">
        <v>80</v>
      </c>
      <c r="K43">
        <v>55</v>
      </c>
      <c r="L43">
        <v>3</v>
      </c>
    </row>
    <row r="44" spans="1:12" x14ac:dyDescent="0.25">
      <c r="A44" s="1" t="s">
        <v>52</v>
      </c>
      <c r="B44" s="1" t="s">
        <v>76</v>
      </c>
      <c r="C44">
        <v>30</v>
      </c>
      <c r="D44" s="1" t="s">
        <v>19</v>
      </c>
      <c r="E44" s="1" t="s">
        <v>14</v>
      </c>
      <c r="F44" s="1" t="s">
        <v>36</v>
      </c>
      <c r="G44">
        <v>82</v>
      </c>
      <c r="H44" s="1" t="s">
        <v>39</v>
      </c>
      <c r="I44">
        <v>156</v>
      </c>
      <c r="J44">
        <v>82</v>
      </c>
      <c r="K44">
        <v>65</v>
      </c>
      <c r="L44">
        <v>3</v>
      </c>
    </row>
    <row r="45" spans="1:12" x14ac:dyDescent="0.25">
      <c r="A45" s="1" t="s">
        <v>77</v>
      </c>
      <c r="B45" s="1" t="s">
        <v>78</v>
      </c>
      <c r="C45">
        <v>32</v>
      </c>
      <c r="D45" s="1" t="s">
        <v>19</v>
      </c>
      <c r="E45" s="1" t="s">
        <v>14</v>
      </c>
      <c r="F45" s="1" t="s">
        <v>36</v>
      </c>
      <c r="G45">
        <v>81</v>
      </c>
      <c r="H45" s="1" t="s">
        <v>39</v>
      </c>
      <c r="I45">
        <v>158</v>
      </c>
      <c r="J45">
        <v>85</v>
      </c>
      <c r="K45">
        <v>83</v>
      </c>
      <c r="L45">
        <v>3</v>
      </c>
    </row>
    <row r="46" spans="1:12" x14ac:dyDescent="0.25">
      <c r="A46" s="1" t="s">
        <v>83</v>
      </c>
      <c r="B46" s="1" t="s">
        <v>84</v>
      </c>
      <c r="C46">
        <v>39</v>
      </c>
      <c r="D46" s="1" t="s">
        <v>19</v>
      </c>
      <c r="E46" s="1" t="s">
        <v>24</v>
      </c>
      <c r="F46" s="1" t="s">
        <v>15</v>
      </c>
      <c r="G46">
        <v>80</v>
      </c>
      <c r="H46" s="1" t="s">
        <v>39</v>
      </c>
      <c r="I46">
        <v>156</v>
      </c>
      <c r="J46">
        <v>81</v>
      </c>
      <c r="K46">
        <v>69</v>
      </c>
      <c r="L46">
        <v>3</v>
      </c>
    </row>
    <row r="47" spans="1:12" x14ac:dyDescent="0.25">
      <c r="A47" s="1" t="s">
        <v>85</v>
      </c>
      <c r="B47" s="1" t="s">
        <v>86</v>
      </c>
      <c r="C47">
        <v>41</v>
      </c>
      <c r="D47" s="1" t="s">
        <v>13</v>
      </c>
      <c r="E47" s="1" t="s">
        <v>24</v>
      </c>
      <c r="F47" s="1" t="s">
        <v>15</v>
      </c>
      <c r="G47">
        <v>86</v>
      </c>
      <c r="H47" s="1" t="s">
        <v>39</v>
      </c>
      <c r="I47">
        <v>154</v>
      </c>
      <c r="J47">
        <v>81</v>
      </c>
      <c r="K47">
        <v>91</v>
      </c>
      <c r="L47">
        <v>3</v>
      </c>
    </row>
    <row r="48" spans="1:12" x14ac:dyDescent="0.25">
      <c r="A48" s="1" t="s">
        <v>98</v>
      </c>
      <c r="B48" s="1" t="s">
        <v>99</v>
      </c>
      <c r="C48">
        <v>27</v>
      </c>
      <c r="D48" s="1" t="s">
        <v>19</v>
      </c>
      <c r="E48" s="1" t="s">
        <v>14</v>
      </c>
      <c r="F48" s="1" t="s">
        <v>36</v>
      </c>
      <c r="G48">
        <v>85</v>
      </c>
      <c r="H48" s="1" t="s">
        <v>39</v>
      </c>
      <c r="I48">
        <v>158</v>
      </c>
      <c r="J48">
        <v>84</v>
      </c>
      <c r="K48">
        <v>90</v>
      </c>
      <c r="L48">
        <v>3</v>
      </c>
    </row>
    <row r="49" spans="1:12" x14ac:dyDescent="0.25">
      <c r="A49" s="1" t="s">
        <v>102</v>
      </c>
      <c r="B49" s="1" t="s">
        <v>34</v>
      </c>
      <c r="C49">
        <v>31</v>
      </c>
      <c r="D49" s="1" t="s">
        <v>19</v>
      </c>
      <c r="E49" s="1" t="s">
        <v>14</v>
      </c>
      <c r="F49" s="1" t="s">
        <v>36</v>
      </c>
      <c r="G49">
        <v>95</v>
      </c>
      <c r="H49" s="1" t="s">
        <v>39</v>
      </c>
      <c r="I49">
        <v>158</v>
      </c>
      <c r="J49">
        <v>87</v>
      </c>
      <c r="K49">
        <v>99</v>
      </c>
      <c r="L49">
        <v>3</v>
      </c>
    </row>
    <row r="50" spans="1:12" x14ac:dyDescent="0.25">
      <c r="A50" s="1" t="s">
        <v>107</v>
      </c>
      <c r="B50" s="1" t="s">
        <v>108</v>
      </c>
      <c r="C50">
        <v>37</v>
      </c>
      <c r="D50" s="1" t="s">
        <v>13</v>
      </c>
      <c r="E50" s="1" t="s">
        <v>14</v>
      </c>
      <c r="F50" s="1" t="s">
        <v>15</v>
      </c>
      <c r="G50">
        <v>45</v>
      </c>
      <c r="H50" s="1" t="s">
        <v>39</v>
      </c>
      <c r="I50">
        <v>142</v>
      </c>
      <c r="J50">
        <v>57</v>
      </c>
      <c r="K50">
        <v>50</v>
      </c>
      <c r="L50">
        <v>3</v>
      </c>
    </row>
    <row r="51" spans="1:12" x14ac:dyDescent="0.25">
      <c r="A51" s="1" t="s">
        <v>125</v>
      </c>
      <c r="B51" s="1" t="s">
        <v>126</v>
      </c>
      <c r="C51">
        <v>32</v>
      </c>
      <c r="D51" s="1" t="s">
        <v>13</v>
      </c>
      <c r="E51" s="1" t="s">
        <v>127</v>
      </c>
      <c r="F51" s="1" t="s">
        <v>36</v>
      </c>
      <c r="G51">
        <v>82</v>
      </c>
      <c r="H51" s="1" t="s">
        <v>39</v>
      </c>
      <c r="I51">
        <v>156</v>
      </c>
      <c r="J51">
        <v>84</v>
      </c>
      <c r="K51">
        <v>59</v>
      </c>
      <c r="L51">
        <v>3</v>
      </c>
    </row>
    <row r="52" spans="1:12" x14ac:dyDescent="0.25">
      <c r="A52" s="1" t="s">
        <v>140</v>
      </c>
      <c r="B52" s="1" t="s">
        <v>141</v>
      </c>
      <c r="C52">
        <v>50</v>
      </c>
      <c r="D52" s="1" t="s">
        <v>13</v>
      </c>
      <c r="E52" s="1" t="s">
        <v>14</v>
      </c>
      <c r="F52" s="1" t="s">
        <v>15</v>
      </c>
      <c r="G52">
        <v>81</v>
      </c>
      <c r="H52" s="1" t="s">
        <v>39</v>
      </c>
      <c r="I52">
        <v>158</v>
      </c>
      <c r="J52">
        <v>87</v>
      </c>
      <c r="K52">
        <v>46</v>
      </c>
      <c r="L52">
        <v>3</v>
      </c>
    </row>
    <row r="53" spans="1:12" x14ac:dyDescent="0.25">
      <c r="A53" s="1" t="s">
        <v>146</v>
      </c>
      <c r="B53" s="1" t="s">
        <v>147</v>
      </c>
      <c r="C53">
        <v>27</v>
      </c>
      <c r="D53" s="1" t="s">
        <v>19</v>
      </c>
      <c r="E53" s="1" t="s">
        <v>20</v>
      </c>
      <c r="F53" s="1" t="s">
        <v>25</v>
      </c>
      <c r="G53">
        <v>85</v>
      </c>
      <c r="H53" s="1" t="s">
        <v>39</v>
      </c>
      <c r="I53">
        <v>156</v>
      </c>
      <c r="J53">
        <v>84</v>
      </c>
      <c r="K53">
        <v>68</v>
      </c>
      <c r="L53">
        <v>3</v>
      </c>
    </row>
    <row r="54" spans="1:12" x14ac:dyDescent="0.25">
      <c r="A54" s="1" t="s">
        <v>148</v>
      </c>
      <c r="B54" s="1" t="s">
        <v>149</v>
      </c>
      <c r="C54">
        <v>29</v>
      </c>
      <c r="D54" s="1" t="s">
        <v>19</v>
      </c>
      <c r="E54" s="1" t="s">
        <v>20</v>
      </c>
      <c r="F54" s="1" t="s">
        <v>25</v>
      </c>
      <c r="G54">
        <v>83</v>
      </c>
      <c r="H54" s="1" t="s">
        <v>39</v>
      </c>
      <c r="I54">
        <v>156</v>
      </c>
      <c r="J54">
        <v>81</v>
      </c>
      <c r="K54">
        <v>67</v>
      </c>
      <c r="L54">
        <v>3</v>
      </c>
    </row>
    <row r="55" spans="1:12" x14ac:dyDescent="0.25">
      <c r="A55" s="1" t="s">
        <v>155</v>
      </c>
      <c r="B55" s="1" t="s">
        <v>156</v>
      </c>
      <c r="C55">
        <v>35</v>
      </c>
      <c r="D55" s="1" t="s">
        <v>13</v>
      </c>
      <c r="E55" s="1" t="s">
        <v>157</v>
      </c>
      <c r="F55" s="1" t="s">
        <v>25</v>
      </c>
      <c r="G55">
        <v>69</v>
      </c>
      <c r="H55" s="1" t="s">
        <v>39</v>
      </c>
      <c r="I55">
        <v>144</v>
      </c>
      <c r="J55">
        <v>69</v>
      </c>
      <c r="K55">
        <v>45</v>
      </c>
      <c r="L55">
        <v>3</v>
      </c>
    </row>
    <row r="56" spans="1:12" x14ac:dyDescent="0.25">
      <c r="A56" s="1" t="s">
        <v>158</v>
      </c>
      <c r="B56" s="1" t="s">
        <v>159</v>
      </c>
      <c r="C56">
        <v>37</v>
      </c>
      <c r="D56" s="1" t="s">
        <v>19</v>
      </c>
      <c r="E56" s="1" t="s">
        <v>75</v>
      </c>
      <c r="F56" s="1" t="s">
        <v>15</v>
      </c>
      <c r="G56">
        <v>80</v>
      </c>
      <c r="H56" s="1" t="s">
        <v>39</v>
      </c>
      <c r="I56">
        <v>152</v>
      </c>
      <c r="J56">
        <v>78</v>
      </c>
      <c r="K56">
        <v>62</v>
      </c>
      <c r="L56">
        <v>3</v>
      </c>
    </row>
    <row r="57" spans="1:12" x14ac:dyDescent="0.25">
      <c r="A57" s="1" t="s">
        <v>163</v>
      </c>
      <c r="B57" s="1" t="s">
        <v>164</v>
      </c>
      <c r="C57">
        <v>43</v>
      </c>
      <c r="D57" s="1" t="s">
        <v>13</v>
      </c>
      <c r="E57" s="1" t="s">
        <v>157</v>
      </c>
      <c r="F57" s="1" t="s">
        <v>15</v>
      </c>
      <c r="G57">
        <v>80</v>
      </c>
      <c r="H57" s="1" t="s">
        <v>39</v>
      </c>
      <c r="I57">
        <v>150</v>
      </c>
      <c r="J57">
        <v>75</v>
      </c>
      <c r="K57">
        <v>43</v>
      </c>
      <c r="L57">
        <v>3</v>
      </c>
    </row>
    <row r="58" spans="1:12" x14ac:dyDescent="0.25">
      <c r="A58" s="1" t="s">
        <v>11</v>
      </c>
      <c r="B58" s="1" t="s">
        <v>12</v>
      </c>
      <c r="C58">
        <v>44</v>
      </c>
      <c r="D58" s="1" t="s">
        <v>13</v>
      </c>
      <c r="E58" s="1" t="s">
        <v>14</v>
      </c>
      <c r="F58" s="1" t="s">
        <v>15</v>
      </c>
      <c r="G58">
        <v>72</v>
      </c>
      <c r="H58" s="1" t="s">
        <v>16</v>
      </c>
      <c r="I58">
        <v>158</v>
      </c>
      <c r="J58">
        <v>59</v>
      </c>
      <c r="K58">
        <v>55</v>
      </c>
      <c r="L58">
        <v>4</v>
      </c>
    </row>
    <row r="59" spans="1:12" x14ac:dyDescent="0.25">
      <c r="A59" s="1" t="s">
        <v>66</v>
      </c>
      <c r="B59" s="1" t="s">
        <v>67</v>
      </c>
      <c r="C59">
        <v>50</v>
      </c>
      <c r="D59" s="1" t="s">
        <v>13</v>
      </c>
      <c r="E59" s="1" t="s">
        <v>14</v>
      </c>
      <c r="F59" s="1" t="s">
        <v>15</v>
      </c>
      <c r="G59">
        <v>95</v>
      </c>
      <c r="H59" s="1" t="s">
        <v>16</v>
      </c>
      <c r="I59">
        <v>160</v>
      </c>
      <c r="J59">
        <v>84</v>
      </c>
      <c r="K59">
        <v>90</v>
      </c>
      <c r="L59">
        <v>4</v>
      </c>
    </row>
    <row r="60" spans="1:12" x14ac:dyDescent="0.25">
      <c r="A60" s="1" t="s">
        <v>79</v>
      </c>
      <c r="B60" s="1" t="s">
        <v>80</v>
      </c>
      <c r="C60">
        <v>35</v>
      </c>
      <c r="D60" s="1" t="s">
        <v>13</v>
      </c>
      <c r="E60" s="1" t="s">
        <v>14</v>
      </c>
      <c r="F60" s="1" t="s">
        <v>36</v>
      </c>
      <c r="G60">
        <v>92</v>
      </c>
      <c r="H60" s="1" t="s">
        <v>16</v>
      </c>
      <c r="I60">
        <v>160</v>
      </c>
      <c r="J60">
        <v>87</v>
      </c>
      <c r="K60">
        <v>88</v>
      </c>
      <c r="L60">
        <v>4</v>
      </c>
    </row>
    <row r="61" spans="1:12" x14ac:dyDescent="0.25">
      <c r="A61" s="1" t="s">
        <v>109</v>
      </c>
      <c r="B61" s="1" t="s">
        <v>110</v>
      </c>
      <c r="C61">
        <v>39</v>
      </c>
      <c r="D61" s="1" t="s">
        <v>13</v>
      </c>
      <c r="E61" s="1" t="s">
        <v>111</v>
      </c>
      <c r="F61" s="1" t="s">
        <v>15</v>
      </c>
      <c r="G61">
        <v>90</v>
      </c>
      <c r="H61" s="1" t="s">
        <v>16</v>
      </c>
      <c r="I61">
        <v>158</v>
      </c>
      <c r="J61">
        <v>85</v>
      </c>
      <c r="K61">
        <v>74</v>
      </c>
      <c r="L61">
        <v>4</v>
      </c>
    </row>
    <row r="62" spans="1:12" x14ac:dyDescent="0.25">
      <c r="A62" s="1" t="s">
        <v>112</v>
      </c>
      <c r="B62" s="1" t="s">
        <v>113</v>
      </c>
      <c r="C62">
        <v>41</v>
      </c>
      <c r="D62" s="1" t="s">
        <v>13</v>
      </c>
      <c r="E62" s="1" t="s">
        <v>14</v>
      </c>
      <c r="F62" s="1" t="s">
        <v>15</v>
      </c>
      <c r="G62">
        <v>90</v>
      </c>
      <c r="H62" s="1" t="s">
        <v>16</v>
      </c>
      <c r="I62">
        <v>156</v>
      </c>
      <c r="J62">
        <v>80</v>
      </c>
      <c r="K62">
        <v>83</v>
      </c>
      <c r="L62">
        <v>4</v>
      </c>
    </row>
    <row r="63" spans="1:12" x14ac:dyDescent="0.25">
      <c r="A63" s="1" t="s">
        <v>54</v>
      </c>
      <c r="B63" s="1" t="s">
        <v>78</v>
      </c>
      <c r="C63">
        <v>43</v>
      </c>
      <c r="D63" s="1" t="s">
        <v>13</v>
      </c>
      <c r="E63" s="1" t="s">
        <v>14</v>
      </c>
      <c r="F63" s="1" t="s">
        <v>15</v>
      </c>
      <c r="G63">
        <v>96</v>
      </c>
      <c r="H63" s="1" t="s">
        <v>16</v>
      </c>
      <c r="I63">
        <v>158</v>
      </c>
      <c r="J63">
        <v>87</v>
      </c>
      <c r="K63">
        <v>92</v>
      </c>
      <c r="L63">
        <v>4</v>
      </c>
    </row>
    <row r="64" spans="1:12" x14ac:dyDescent="0.25">
      <c r="A64" s="1" t="s">
        <v>114</v>
      </c>
      <c r="B64" s="1" t="s">
        <v>115</v>
      </c>
      <c r="C64">
        <v>45</v>
      </c>
      <c r="D64" s="1" t="s">
        <v>13</v>
      </c>
      <c r="E64" s="1" t="s">
        <v>14</v>
      </c>
      <c r="F64" s="1" t="s">
        <v>15</v>
      </c>
      <c r="G64">
        <v>95</v>
      </c>
      <c r="H64" s="1" t="s">
        <v>16</v>
      </c>
      <c r="I64">
        <v>160</v>
      </c>
      <c r="J64">
        <v>88</v>
      </c>
      <c r="K64">
        <v>86</v>
      </c>
      <c r="L64">
        <v>4</v>
      </c>
    </row>
    <row r="65" spans="1:12" x14ac:dyDescent="0.25">
      <c r="A65" s="1" t="s">
        <v>131</v>
      </c>
      <c r="B65" s="1" t="s">
        <v>132</v>
      </c>
      <c r="C65">
        <v>38</v>
      </c>
      <c r="D65" s="1" t="s">
        <v>13</v>
      </c>
      <c r="E65" s="1" t="s">
        <v>14</v>
      </c>
      <c r="F65" s="1" t="s">
        <v>15</v>
      </c>
      <c r="G65">
        <v>80</v>
      </c>
      <c r="H65" s="1" t="s">
        <v>16</v>
      </c>
      <c r="I65">
        <v>158</v>
      </c>
      <c r="J65">
        <v>84</v>
      </c>
      <c r="K65">
        <v>50</v>
      </c>
      <c r="L65">
        <v>4</v>
      </c>
    </row>
    <row r="66" spans="1:12" x14ac:dyDescent="0.25">
      <c r="A66" s="1" t="s">
        <v>150</v>
      </c>
      <c r="B66" s="1" t="s">
        <v>151</v>
      </c>
      <c r="C66">
        <v>31</v>
      </c>
      <c r="D66" s="1" t="s">
        <v>13</v>
      </c>
      <c r="E66" s="1" t="s">
        <v>152</v>
      </c>
      <c r="F66" s="1" t="s">
        <v>25</v>
      </c>
      <c r="G66">
        <v>89</v>
      </c>
      <c r="H66" s="1" t="s">
        <v>16</v>
      </c>
      <c r="I66">
        <v>160</v>
      </c>
      <c r="J66">
        <v>87</v>
      </c>
      <c r="K66">
        <v>61</v>
      </c>
      <c r="L66">
        <v>4</v>
      </c>
    </row>
    <row r="67" spans="1:12" x14ac:dyDescent="0.25">
      <c r="A67" s="1" t="s">
        <v>153</v>
      </c>
      <c r="B67" s="1" t="s">
        <v>154</v>
      </c>
      <c r="C67">
        <v>33</v>
      </c>
      <c r="D67" s="1" t="s">
        <v>19</v>
      </c>
      <c r="E67" s="1" t="s">
        <v>152</v>
      </c>
      <c r="F67" s="1" t="s">
        <v>25</v>
      </c>
      <c r="G67">
        <v>98</v>
      </c>
      <c r="H67" s="1" t="s">
        <v>16</v>
      </c>
      <c r="I67">
        <v>160</v>
      </c>
      <c r="J67">
        <v>87</v>
      </c>
      <c r="K67">
        <v>86</v>
      </c>
      <c r="L67">
        <v>4</v>
      </c>
    </row>
    <row r="68" spans="1:12" x14ac:dyDescent="0.25">
      <c r="A68" s="1" t="s">
        <v>47</v>
      </c>
      <c r="B68" s="1" t="s">
        <v>160</v>
      </c>
      <c r="C68">
        <v>39</v>
      </c>
      <c r="D68" s="1" t="s">
        <v>13</v>
      </c>
      <c r="E68" s="1" t="s">
        <v>49</v>
      </c>
      <c r="F68" s="1" t="s">
        <v>15</v>
      </c>
      <c r="G68">
        <v>81</v>
      </c>
      <c r="H68" s="1" t="s">
        <v>16</v>
      </c>
      <c r="I68">
        <v>160</v>
      </c>
      <c r="J68">
        <v>80</v>
      </c>
      <c r="K68">
        <v>71</v>
      </c>
      <c r="L68">
        <v>4</v>
      </c>
    </row>
    <row r="69" spans="1:12" x14ac:dyDescent="0.25">
      <c r="A69" s="1" t="s">
        <v>161</v>
      </c>
      <c r="B69" s="1" t="s">
        <v>162</v>
      </c>
      <c r="C69">
        <v>50</v>
      </c>
      <c r="D69" s="1" t="s">
        <v>19</v>
      </c>
      <c r="E69" s="1" t="s">
        <v>58</v>
      </c>
      <c r="F69" s="1" t="s">
        <v>15</v>
      </c>
      <c r="G69">
        <v>74</v>
      </c>
      <c r="H69" s="1" t="s">
        <v>16</v>
      </c>
      <c r="I69">
        <v>140</v>
      </c>
      <c r="J69">
        <v>63</v>
      </c>
      <c r="K69">
        <v>60</v>
      </c>
      <c r="L69">
        <v>4</v>
      </c>
    </row>
    <row r="70" spans="1:12" x14ac:dyDescent="0.25">
      <c r="A70" s="1" t="s">
        <v>165</v>
      </c>
      <c r="B70" s="1" t="s">
        <v>166</v>
      </c>
      <c r="C70">
        <v>31</v>
      </c>
      <c r="D70" s="1" t="s">
        <v>19</v>
      </c>
      <c r="E70" s="1" t="s">
        <v>46</v>
      </c>
      <c r="F70" s="1" t="s">
        <v>25</v>
      </c>
      <c r="G70">
        <v>90</v>
      </c>
      <c r="H70" s="1" t="s">
        <v>16</v>
      </c>
      <c r="I70">
        <v>158</v>
      </c>
      <c r="J70">
        <v>84</v>
      </c>
      <c r="K70">
        <v>83</v>
      </c>
      <c r="L70">
        <v>4</v>
      </c>
    </row>
    <row r="71" spans="1:12" x14ac:dyDescent="0.25">
      <c r="A71" s="1" t="s">
        <v>167</v>
      </c>
      <c r="B71" s="1" t="s">
        <v>168</v>
      </c>
      <c r="C71">
        <v>33</v>
      </c>
      <c r="D71" s="1" t="s">
        <v>13</v>
      </c>
      <c r="E71" s="1" t="s">
        <v>111</v>
      </c>
      <c r="F71" s="1" t="s">
        <v>25</v>
      </c>
      <c r="G71">
        <v>96</v>
      </c>
      <c r="H71" s="1" t="s">
        <v>16</v>
      </c>
      <c r="I71">
        <v>158</v>
      </c>
      <c r="J71">
        <v>85</v>
      </c>
      <c r="K71">
        <v>90</v>
      </c>
      <c r="L71">
        <v>4</v>
      </c>
    </row>
    <row r="72" spans="1:12" x14ac:dyDescent="0.25">
      <c r="A72" s="1" t="s">
        <v>169</v>
      </c>
      <c r="B72" s="1" t="s">
        <v>170</v>
      </c>
      <c r="C72">
        <v>35</v>
      </c>
      <c r="D72" s="1" t="s">
        <v>19</v>
      </c>
      <c r="E72" s="1" t="s">
        <v>152</v>
      </c>
      <c r="F72" s="1" t="s">
        <v>25</v>
      </c>
      <c r="G72">
        <v>90</v>
      </c>
      <c r="H72" s="1" t="s">
        <v>16</v>
      </c>
      <c r="I72">
        <v>160</v>
      </c>
      <c r="J72">
        <v>87</v>
      </c>
      <c r="K72">
        <v>74</v>
      </c>
      <c r="L72">
        <v>4</v>
      </c>
    </row>
    <row r="73" spans="1:12" x14ac:dyDescent="0.25">
      <c r="A73" s="1" t="s">
        <v>171</v>
      </c>
      <c r="B73" s="1" t="s">
        <v>172</v>
      </c>
      <c r="C73">
        <v>31</v>
      </c>
      <c r="D73" s="1" t="s">
        <v>19</v>
      </c>
      <c r="E73" s="1" t="s">
        <v>127</v>
      </c>
      <c r="F73" s="1" t="s">
        <v>25</v>
      </c>
      <c r="G73">
        <v>35</v>
      </c>
      <c r="H73" s="1" t="s">
        <v>16</v>
      </c>
      <c r="I73">
        <v>144</v>
      </c>
      <c r="J73">
        <v>72</v>
      </c>
      <c r="K73">
        <v>90</v>
      </c>
      <c r="L73">
        <v>4</v>
      </c>
    </row>
    <row r="74" spans="1:12" x14ac:dyDescent="0.25">
      <c r="A74" s="1" t="s">
        <v>91</v>
      </c>
      <c r="B74" s="1" t="s">
        <v>92</v>
      </c>
      <c r="C74">
        <v>71</v>
      </c>
      <c r="D74" s="1" t="s">
        <v>13</v>
      </c>
      <c r="E74" s="1" t="s">
        <v>14</v>
      </c>
      <c r="F74" s="1" t="s">
        <v>15</v>
      </c>
      <c r="G74">
        <v>30</v>
      </c>
      <c r="H74" s="1" t="s">
        <v>93</v>
      </c>
      <c r="I74">
        <v>120</v>
      </c>
      <c r="J74">
        <v>31</v>
      </c>
      <c r="K74">
        <v>42</v>
      </c>
      <c r="L74">
        <v>5</v>
      </c>
    </row>
    <row r="75" spans="1:12" x14ac:dyDescent="0.25">
      <c r="A75" s="1" t="s">
        <v>116</v>
      </c>
      <c r="B75" s="1" t="s">
        <v>45</v>
      </c>
      <c r="C75">
        <v>47</v>
      </c>
      <c r="D75" s="1" t="s">
        <v>19</v>
      </c>
      <c r="E75" s="1" t="s">
        <v>14</v>
      </c>
      <c r="F75" s="1" t="s">
        <v>15</v>
      </c>
      <c r="G75">
        <v>89</v>
      </c>
      <c r="H75" s="1" t="s">
        <v>93</v>
      </c>
      <c r="I75">
        <v>160</v>
      </c>
      <c r="J75">
        <v>86</v>
      </c>
      <c r="K75">
        <v>60</v>
      </c>
      <c r="L75">
        <v>5</v>
      </c>
    </row>
    <row r="76" spans="1:12" x14ac:dyDescent="0.25">
      <c r="A76" s="1" t="s">
        <v>128</v>
      </c>
      <c r="B76" s="1" t="s">
        <v>133</v>
      </c>
      <c r="C76">
        <v>69</v>
      </c>
      <c r="D76" s="1" t="s">
        <v>19</v>
      </c>
      <c r="E76" s="1" t="s">
        <v>130</v>
      </c>
      <c r="F76" s="1" t="s">
        <v>15</v>
      </c>
      <c r="G76">
        <v>94</v>
      </c>
      <c r="H76" s="1" t="s">
        <v>93</v>
      </c>
      <c r="I76">
        <v>160</v>
      </c>
      <c r="J76">
        <v>87</v>
      </c>
      <c r="K76">
        <v>88</v>
      </c>
      <c r="L76">
        <v>5</v>
      </c>
    </row>
    <row r="77" spans="1:12" x14ac:dyDescent="0.25">
      <c r="A77" s="1" t="s">
        <v>134</v>
      </c>
      <c r="B77" s="1" t="s">
        <v>135</v>
      </c>
      <c r="C77">
        <v>42</v>
      </c>
      <c r="D77" s="1" t="s">
        <v>19</v>
      </c>
      <c r="E77" s="1" t="s">
        <v>14</v>
      </c>
      <c r="F77" s="1" t="s">
        <v>15</v>
      </c>
      <c r="G77">
        <v>91</v>
      </c>
      <c r="H77" s="1" t="s">
        <v>93</v>
      </c>
      <c r="I77">
        <v>158</v>
      </c>
      <c r="J77">
        <v>84</v>
      </c>
      <c r="K77">
        <v>82</v>
      </c>
      <c r="L77">
        <v>5</v>
      </c>
    </row>
    <row r="78" spans="1:12" x14ac:dyDescent="0.25">
      <c r="A78" s="1" t="s">
        <v>138</v>
      </c>
      <c r="B78" s="1" t="s">
        <v>41</v>
      </c>
      <c r="C78">
        <v>46</v>
      </c>
      <c r="D78" s="1" t="s">
        <v>13</v>
      </c>
      <c r="E78" s="1" t="s">
        <v>14</v>
      </c>
      <c r="F78" s="1" t="s">
        <v>15</v>
      </c>
      <c r="G78">
        <v>94</v>
      </c>
      <c r="H78" s="1" t="s">
        <v>93</v>
      </c>
      <c r="I78">
        <v>160</v>
      </c>
      <c r="J78">
        <v>90</v>
      </c>
      <c r="K78">
        <v>77</v>
      </c>
      <c r="L78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76F9F7C-1450-4642-BDD4-22EFD043EE93}">
  <ds:schemaRefs/>
</ds:datastoreItem>
</file>

<file path=customXml/itemProps2.xml><?xml version="1.0" encoding="utf-8"?>
<ds:datastoreItem xmlns:ds="http://schemas.openxmlformats.org/officeDocument/2006/customXml" ds:itemID="{C77D6A3D-6017-487D-AE8F-3512DCCB70CF}">
  <ds:schemaRefs/>
</ds:datastoreItem>
</file>

<file path=customXml/itemProps3.xml><?xml version="1.0" encoding="utf-8"?>
<ds:datastoreItem xmlns:ds="http://schemas.openxmlformats.org/officeDocument/2006/customXml" ds:itemID="{D870057C-3D48-4074-9630-45A1AD010DC6}">
  <ds:schemaRefs/>
</ds:datastoreItem>
</file>

<file path=customXml/itemProps4.xml><?xml version="1.0" encoding="utf-8"?>
<ds:datastoreItem xmlns:ds="http://schemas.openxmlformats.org/officeDocument/2006/customXml" ds:itemID="{547F6642-EBA8-4DC2-BB21-91781B6377C0}">
  <ds:schemaRefs/>
</ds:datastoreItem>
</file>

<file path=customXml/itemProps5.xml><?xml version="1.0" encoding="utf-8"?>
<ds:datastoreItem xmlns:ds="http://schemas.openxmlformats.org/officeDocument/2006/customXml" ds:itemID="{13503EF1-164E-4DE3-AB37-6CFA035EAE5C}">
  <ds:schemaRefs/>
</ds:datastoreItem>
</file>

<file path=customXml/itemProps6.xml><?xml version="1.0" encoding="utf-8"?>
<ds:datastoreItem xmlns:ds="http://schemas.openxmlformats.org/officeDocument/2006/customXml" ds:itemID="{FA0C480C-5EC1-47AF-BAEC-6D110B073747}">
  <ds:schemaRefs/>
</ds:datastoreItem>
</file>

<file path=customXml/itemProps7.xml><?xml version="1.0" encoding="utf-8"?>
<ds:datastoreItem xmlns:ds="http://schemas.openxmlformats.org/officeDocument/2006/customXml" ds:itemID="{6C7DB824-E00D-444E-BC17-D70A971BC94D}">
  <ds:schemaRefs/>
</ds:datastoreItem>
</file>

<file path=customXml/itemProps8.xml><?xml version="1.0" encoding="utf-8"?>
<ds:datastoreItem xmlns:ds="http://schemas.openxmlformats.org/officeDocument/2006/customXml" ds:itemID="{1FAA8E5F-1F7A-4273-A67C-656BCCF3CC6D}">
  <ds:schemaRefs/>
</ds:datastoreItem>
</file>

<file path=customXml/itemProps9.xml><?xml version="1.0" encoding="utf-8"?>
<ds:datastoreItem xmlns:ds="http://schemas.openxmlformats.org/officeDocument/2006/customXml" ds:itemID="{971434FB-67FF-4637-9B19-FBF9CA746298}">
  <ds:schemaRefs/>
</ds:datastoreItem>
</file>

<file path=customXml/itemProps10.xml><?xml version="1.0" encoding="utf-8"?>
<ds:datastoreItem xmlns:ds="http://schemas.openxmlformats.org/officeDocument/2006/customXml" ds:itemID="{E366D676-119A-4E1C-983E-5CC5E983BCA1}">
  <ds:schemaRefs/>
</ds:datastoreItem>
</file>

<file path=customXml/itemProps11.xml><?xml version="1.0" encoding="utf-8"?>
<ds:datastoreItem xmlns:ds="http://schemas.openxmlformats.org/officeDocument/2006/customXml" ds:itemID="{E90E220F-85E2-49C1-BAB8-0B5285E8AB51}">
  <ds:schemaRefs/>
</ds:datastoreItem>
</file>

<file path=customXml/itemProps12.xml><?xml version="1.0" encoding="utf-8"?>
<ds:datastoreItem xmlns:ds="http://schemas.openxmlformats.org/officeDocument/2006/customXml" ds:itemID="{8D6A5BC3-A138-44DC-87B6-499A2EEA07BA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6AF4F0FE-AC06-4B8E-B67B-38D5DBDB027D}">
  <ds:schemaRefs/>
</ds:datastoreItem>
</file>

<file path=customXml/itemProps14.xml><?xml version="1.0" encoding="utf-8"?>
<ds:datastoreItem xmlns:ds="http://schemas.openxmlformats.org/officeDocument/2006/customXml" ds:itemID="{2B2C0DC7-AADC-4370-9A2C-92454418DBDD}">
  <ds:schemaRefs/>
</ds:datastoreItem>
</file>

<file path=customXml/itemProps15.xml><?xml version="1.0" encoding="utf-8"?>
<ds:datastoreItem xmlns:ds="http://schemas.openxmlformats.org/officeDocument/2006/customXml" ds:itemID="{321911C2-4EA0-48BA-B7DD-CD3D6981B107}">
  <ds:schemaRefs/>
</ds:datastoreItem>
</file>

<file path=customXml/itemProps16.xml><?xml version="1.0" encoding="utf-8"?>
<ds:datastoreItem xmlns:ds="http://schemas.openxmlformats.org/officeDocument/2006/customXml" ds:itemID="{7EE713F5-63C4-468A-B25B-09328EAA21E7}">
  <ds:schemaRefs/>
</ds:datastoreItem>
</file>

<file path=customXml/itemProps17.xml><?xml version="1.0" encoding="utf-8"?>
<ds:datastoreItem xmlns:ds="http://schemas.openxmlformats.org/officeDocument/2006/customXml" ds:itemID="{BD93B5FB-79B7-4303-9766-7BC6D662B32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Pivot Data</vt:lpstr>
      <vt:lpstr>Cleaned_Data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Asghar Khan</cp:lastModifiedBy>
  <dcterms:created xsi:type="dcterms:W3CDTF">2015-06-05T18:17:20Z</dcterms:created>
  <dcterms:modified xsi:type="dcterms:W3CDTF">2025-09-20T14:03:32Z</dcterms:modified>
</cp:coreProperties>
</file>